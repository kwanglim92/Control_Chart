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defaultThemeVersion="166925"/>
  <mc:AlternateContent xmlns:mc="http://schemas.openxmlformats.org/markup-compatibility/2006">
    <mc:Choice Requires="x15">
      <x15ac:absPath xmlns:x15ac="http://schemas.microsoft.com/office/spreadsheetml/2010/11/ac" url="\\10.4.2.90\c.i.m\2025\144. D160033-140725_Samsung S4((PB)NX-Wafer 300mm(분리형))\3. Check List\"/>
    </mc:Choice>
  </mc:AlternateContent>
  <xr:revisionPtr revIDLastSave="0" documentId="13_ncr:1_{4B931FD3-D931-4E18-995C-5470A6E7EE86}" xr6:coauthVersionLast="47" xr6:coauthVersionMax="47" xr10:uidLastSave="{00000000-0000-0000-0000-000000000000}"/>
  <bookViews>
    <workbookView xWindow="-108" yWindow="-108" windowWidth="23256" windowHeight="12576" tabRatio="950" activeTab="1" xr2:uid="{00000000-000D-0000-FFFF-FFFF00000000}"/>
  </bookViews>
  <sheets>
    <sheet name="표지" sheetId="14" r:id="rId1"/>
    <sheet name="NX-Wafer" sheetId="1" r:id="rId2"/>
    <sheet name="Last" sheetId="19" r:id="rId3"/>
    <sheet name="v3.21.1" sheetId="8" r:id="rId4"/>
  </sheets>
  <definedNames>
    <definedName name="_1._Auto_Defect_Inspection_Test">#REF!</definedName>
    <definedName name="_1._External_Inspection">#REF!</definedName>
    <definedName name="_1._MFM_Test">#REF!</definedName>
    <definedName name="_1._System_Misc.">#REF!</definedName>
    <definedName name="_1_1._XY_Detector_Calibration__Large">#REF!</definedName>
    <definedName name="_1_1._Z_Scanner_Calibration__Large">#REF!</definedName>
    <definedName name="_1_2._XY_Detector_Calibration__Medium">#REF!</definedName>
    <definedName name="_1_2._Z_Scanner_Calibration__Small">#REF!</definedName>
    <definedName name="_2._Assembly_Inspection.">#REF!</definedName>
    <definedName name="_2._Optical_axis_shift_test">#REF!</definedName>
    <definedName name="_2._XY_Scanner_Calibration_check">#REF!</definedName>
    <definedName name="_2._Z_Detector_calibration">#REF!</definedName>
    <definedName name="_3._Controller_Check">#REF!</definedName>
    <definedName name="_3._Illumination_stength_check">#REF!</definedName>
    <definedName name="_3._Z_Detector_noise_check">#REF!</definedName>
    <definedName name="_3_1.__XY_Detector_noise_check__Large">#REF!</definedName>
    <definedName name="_3_2.__XY_Detector_noise_check__Medium">#REF!</definedName>
    <definedName name="_4._Check_Computer_configurations_and_Program">#REF!</definedName>
    <definedName name="_4._Z_Linearity">#REF!</definedName>
    <definedName name="_4_1._OPM_Out_of_Plane_Motion__check__Center">#REF!</definedName>
    <definedName name="_4_2._OPM_Out_of_Plane_Motion__check__Position">#REF!</definedName>
    <definedName name="_5._XY_linearity_test">#REF!</definedName>
    <definedName name="_5_1._Zero_scan_test__mode">#REF!</definedName>
    <definedName name="_5_2._Zero_scan_test___position">#REF!</definedName>
    <definedName name="_5_3._Zero_scan_test___long_term">#REF!</definedName>
    <definedName name="_6._Head_Misc.">#REF!</definedName>
    <definedName name="_xlnm._FilterDatabase" localSheetId="1" hidden="1">'NX-Wafer'!$B$1:$L$593</definedName>
    <definedName name="asd">#REF!</definedName>
    <definedName name="d">#REF!</definedName>
    <definedName name="_xlnm.Print_Area" localSheetId="2">Last!$A$1:$AA$52</definedName>
    <definedName name="_xlnm.Print_Area" localSheetId="1">'NX-Wafer'!$A$1:$I$593</definedName>
    <definedName name="_xlnm.Print_Area" localSheetId="0">표지!$A$1:$X$43</definedName>
    <definedName name="_xlnm.Print_Titles" localSheetId="1">'NX-Wafer'!$1:$1</definedName>
    <definedName name="S">#REF!</definedName>
    <definedName name="Sp">#REF!</definedName>
    <definedName name="SpareProfiler">#REF!</definedName>
    <definedName name="SpP">#REF!</definedName>
    <definedName name="SPpPSp">#REF!</definedName>
    <definedName name="SpSp">#REF!</definedName>
    <definedName name="SpSpSS">#REF!</definedName>
    <definedName name="SPSS">#REF!</definedName>
    <definedName name="WL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8" i="1" l="1"/>
  <c r="A292" i="1"/>
  <c r="A291" i="1"/>
  <c r="A290" i="1"/>
  <c r="A289" i="1"/>
  <c r="A288" i="1"/>
  <c r="A287" i="1"/>
  <c r="A280" i="1"/>
  <c r="A281" i="1"/>
  <c r="A282" i="1"/>
  <c r="A283" i="1"/>
  <c r="A284" i="1"/>
  <c r="A285" i="1"/>
  <c r="A286" i="1"/>
  <c r="G27" i="1"/>
  <c r="G25" i="1"/>
  <c r="F34" i="1" l="1"/>
  <c r="D34" i="1"/>
  <c r="F33" i="1"/>
  <c r="D33" i="1"/>
  <c r="F32" i="1"/>
  <c r="D32" i="1"/>
  <c r="F31" i="1"/>
  <c r="D31" i="1"/>
  <c r="F30" i="1"/>
  <c r="D30" i="1"/>
  <c r="I34" i="1" l="1"/>
  <c r="I30" i="1"/>
  <c r="I32" i="1"/>
  <c r="I33" i="1"/>
  <c r="I31" i="1"/>
  <c r="I19" i="1"/>
  <c r="A19" i="1"/>
  <c r="A20" i="1"/>
  <c r="A18" i="1"/>
  <c r="I395" i="1"/>
  <c r="A395" i="1"/>
  <c r="A396" i="1"/>
  <c r="I420" i="1"/>
  <c r="I419" i="1"/>
  <c r="I418" i="1"/>
  <c r="I417" i="1"/>
  <c r="I416" i="1"/>
  <c r="I415" i="1"/>
  <c r="I17" i="1" l="1"/>
  <c r="A17" i="1"/>
  <c r="I227" i="1"/>
  <c r="A227" i="1"/>
  <c r="A219" i="1" l="1"/>
  <c r="I219" i="1"/>
  <c r="I162" i="1"/>
  <c r="A162" i="1"/>
  <c r="I163" i="1"/>
  <c r="A163" i="1"/>
  <c r="I156" i="1"/>
  <c r="A156" i="1"/>
  <c r="I368" i="1" l="1"/>
  <c r="A368" i="1"/>
  <c r="I513" i="1" l="1"/>
  <c r="I512" i="1"/>
  <c r="I511" i="1"/>
  <c r="I510" i="1"/>
  <c r="A513" i="1"/>
  <c r="A512" i="1"/>
  <c r="I509" i="1"/>
  <c r="I508" i="1"/>
  <c r="I507" i="1"/>
  <c r="I506" i="1"/>
  <c r="I505" i="1"/>
  <c r="I504" i="1"/>
  <c r="I503" i="1"/>
  <c r="I502" i="1"/>
  <c r="A505" i="1"/>
  <c r="A504" i="1"/>
  <c r="I501" i="1"/>
  <c r="I500" i="1"/>
  <c r="I499" i="1"/>
  <c r="I498" i="1"/>
  <c r="A501" i="1"/>
  <c r="A500" i="1"/>
  <c r="A155" i="1"/>
  <c r="I79" i="1"/>
  <c r="A154" i="1" l="1"/>
  <c r="A79" i="1" l="1"/>
  <c r="I27" i="1"/>
  <c r="I25" i="1"/>
  <c r="A27" i="1"/>
  <c r="A28" i="1"/>
  <c r="A24" i="1"/>
  <c r="A25" i="1"/>
  <c r="A26" i="1"/>
  <c r="A29" i="1"/>
  <c r="I426" i="1"/>
  <c r="I425" i="1"/>
  <c r="A425" i="1"/>
  <c r="A426" i="1"/>
  <c r="I307" i="1" l="1"/>
  <c r="I580" i="1" l="1"/>
  <c r="I577" i="1"/>
  <c r="A581" i="1"/>
  <c r="A582" i="1"/>
  <c r="A579" i="1"/>
  <c r="A577" i="1"/>
  <c r="I90" i="1" l="1"/>
  <c r="I111" i="1"/>
  <c r="I112" i="1"/>
  <c r="I113" i="1"/>
  <c r="I114" i="1"/>
  <c r="I115" i="1"/>
  <c r="I116" i="1"/>
  <c r="I117" i="1"/>
  <c r="I110" i="1"/>
  <c r="I109" i="1"/>
  <c r="I108" i="1"/>
  <c r="I100" i="1"/>
  <c r="I94" i="1"/>
  <c r="I99" i="1"/>
  <c r="I98" i="1"/>
  <c r="I93" i="1"/>
  <c r="I92" i="1"/>
  <c r="I91" i="1"/>
  <c r="I105" i="1"/>
  <c r="I104" i="1"/>
  <c r="I97" i="1"/>
  <c r="I96" i="1"/>
  <c r="I95" i="1"/>
  <c r="I82" i="1"/>
  <c r="I83" i="1"/>
  <c r="I84" i="1"/>
  <c r="I85" i="1"/>
  <c r="I86" i="1"/>
  <c r="I87" i="1"/>
  <c r="I88" i="1"/>
  <c r="I89" i="1"/>
  <c r="I81"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21" i="1"/>
  <c r="A22" i="1"/>
  <c r="A23"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80"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7" i="1"/>
  <c r="A158" i="1"/>
  <c r="A159" i="1"/>
  <c r="A160" i="1"/>
  <c r="A161"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20" i="1"/>
  <c r="A221" i="1"/>
  <c r="A222" i="1"/>
  <c r="A223" i="1"/>
  <c r="A224" i="1"/>
  <c r="A225" i="1"/>
  <c r="A226"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2" i="1"/>
  <c r="A503" i="1"/>
  <c r="A506" i="1"/>
  <c r="A507" i="1"/>
  <c r="A508" i="1"/>
  <c r="A509" i="1"/>
  <c r="A510" i="1"/>
  <c r="A511"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8" i="1"/>
  <c r="A580" i="1"/>
  <c r="A583" i="1"/>
  <c r="A584" i="1"/>
  <c r="A585" i="1"/>
  <c r="A586" i="1"/>
  <c r="A587" i="1"/>
  <c r="A588" i="1"/>
  <c r="A589" i="1"/>
  <c r="A590" i="1"/>
  <c r="A591" i="1"/>
  <c r="A592" i="1"/>
  <c r="A593" i="1"/>
  <c r="A15" i="1"/>
  <c r="A16" i="1"/>
  <c r="I76" i="1"/>
  <c r="I70" i="1"/>
  <c r="I77" i="1"/>
  <c r="I563" i="1" l="1"/>
  <c r="I266" i="1"/>
  <c r="I267" i="1"/>
  <c r="I265" i="1"/>
  <c r="I362" i="1"/>
  <c r="I264" i="1"/>
  <c r="I204" i="1"/>
  <c r="I470" i="1"/>
  <c r="I382" i="1"/>
  <c r="I381" i="1"/>
  <c r="I380" i="1"/>
  <c r="I379" i="1"/>
  <c r="I412" i="1"/>
  <c r="I407" i="1"/>
  <c r="I414" i="1" l="1"/>
  <c r="I10" i="1"/>
  <c r="A10" i="1"/>
  <c r="A11" i="1"/>
  <c r="I253" i="1"/>
  <c r="I230" i="1"/>
  <c r="I556" i="1"/>
  <c r="I221" i="1"/>
  <c r="I220" i="1"/>
  <c r="I218" i="1"/>
  <c r="I217" i="1"/>
  <c r="I216" i="1"/>
  <c r="I215" i="1"/>
  <c r="I214" i="1"/>
  <c r="I213" i="1"/>
  <c r="I212" i="1"/>
  <c r="I211" i="1"/>
  <c r="I210" i="1"/>
  <c r="I209" i="1"/>
  <c r="I208" i="1"/>
  <c r="I207" i="1"/>
  <c r="I206" i="1"/>
  <c r="I271" i="1" l="1"/>
  <c r="I279" i="1"/>
  <c r="I269" i="1" l="1"/>
  <c r="I270" i="1"/>
  <c r="I272" i="1"/>
  <c r="I273" i="1"/>
  <c r="I274" i="1"/>
  <c r="I275" i="1"/>
  <c r="I276" i="1"/>
  <c r="I277" i="1"/>
  <c r="I278" i="1"/>
  <c r="I280" i="1"/>
  <c r="I281" i="1"/>
  <c r="I282" i="1"/>
  <c r="I283" i="1"/>
  <c r="I268" i="1"/>
  <c r="I62" i="1" l="1"/>
  <c r="I405" i="1" l="1"/>
  <c r="E406" i="1" a="1"/>
  <c r="E406" i="1" s="1"/>
  <c r="I406" i="1" s="1"/>
  <c r="I366" i="1" l="1"/>
  <c r="I365" i="1"/>
  <c r="I259" i="1"/>
  <c r="I263" i="1" l="1"/>
  <c r="I53" i="1" l="1"/>
  <c r="I47" i="1" l="1"/>
  <c r="I46" i="1"/>
  <c r="I531" i="1" l="1"/>
  <c r="I530" i="1"/>
  <c r="G29" i="1" l="1"/>
  <c r="I248" i="1"/>
  <c r="I247" i="1"/>
  <c r="I157" i="1" l="1"/>
  <c r="I78" i="1" l="1"/>
  <c r="G35" i="1"/>
  <c r="I68" i="1" l="1"/>
  <c r="I471" i="1"/>
  <c r="I250" i="1"/>
  <c r="I249" i="1"/>
  <c r="I67" i="1" l="1"/>
  <c r="I393" i="1" l="1"/>
  <c r="I392" i="1"/>
  <c r="I391" i="1"/>
  <c r="I136" i="1"/>
  <c r="I135" i="1"/>
  <c r="I9" i="1" l="1"/>
  <c r="A9" i="1" l="1"/>
  <c r="A12" i="1"/>
  <c r="I134" i="1" l="1"/>
  <c r="I133" i="1" l="1"/>
  <c r="I254" i="1"/>
  <c r="I168" i="1" l="1"/>
  <c r="I301" i="1" l="1"/>
  <c r="I302" i="1"/>
  <c r="I439" i="1" l="1"/>
  <c r="I441" i="1"/>
  <c r="I440" i="1"/>
  <c r="I438" i="1"/>
  <c r="I437" i="1"/>
  <c r="I306" i="1"/>
  <c r="I23" i="1" l="1"/>
  <c r="I39" i="1"/>
  <c r="I38" i="1"/>
  <c r="I37" i="1"/>
  <c r="I35" i="1"/>
  <c r="I304" i="1" l="1"/>
  <c r="I341" i="1" l="1"/>
  <c r="I340" i="1"/>
  <c r="I339" i="1"/>
  <c r="I338" i="1"/>
  <c r="I409" i="1" l="1"/>
  <c r="I358" i="1" l="1"/>
  <c r="I354" i="1"/>
  <c r="I151" i="1" l="1"/>
  <c r="I149" i="1"/>
  <c r="I147" i="1"/>
  <c r="I387" i="1"/>
  <c r="I140" i="1" l="1"/>
  <c r="I141" i="1"/>
  <c r="I398" i="1" l="1"/>
  <c r="I453" i="1" l="1"/>
  <c r="I452" i="1"/>
  <c r="I451" i="1"/>
  <c r="I450" i="1"/>
  <c r="I449" i="1"/>
  <c r="I448" i="1"/>
  <c r="I459" i="1"/>
  <c r="I458" i="1"/>
  <c r="I457" i="1"/>
  <c r="I456" i="1"/>
  <c r="I455" i="1"/>
  <c r="I454" i="1"/>
  <c r="I345" i="1" l="1"/>
  <c r="I344" i="1"/>
  <c r="I343" i="1"/>
  <c r="I342" i="1"/>
  <c r="I447" i="1"/>
  <c r="I446" i="1"/>
  <c r="I445" i="1"/>
  <c r="I444" i="1"/>
  <c r="I443" i="1"/>
  <c r="I442" i="1"/>
  <c r="I11" i="1"/>
  <c r="I3" i="1"/>
  <c r="I587" i="1"/>
  <c r="I586" i="1"/>
  <c r="I585" i="1"/>
  <c r="I584" i="1"/>
  <c r="I583" i="1"/>
  <c r="I539" i="1"/>
  <c r="I536" i="1"/>
  <c r="I533" i="1"/>
  <c r="I528" i="1"/>
  <c r="I525" i="1"/>
  <c r="I520" i="1"/>
  <c r="I517" i="1"/>
  <c r="I361" i="1"/>
  <c r="I355" i="1"/>
  <c r="I359" i="1"/>
  <c r="I357" i="1"/>
  <c r="I173" i="1"/>
  <c r="I165" i="1"/>
  <c r="I164" i="1"/>
  <c r="I143" i="1"/>
  <c r="I351" i="1"/>
  <c r="I350" i="1"/>
  <c r="A3" i="1" l="1"/>
  <c r="A4" i="1"/>
  <c r="A5" i="1"/>
  <c r="A6" i="1"/>
  <c r="A7" i="1"/>
  <c r="A8" i="1"/>
  <c r="A13" i="1"/>
  <c r="A14" i="1"/>
  <c r="A2" i="1"/>
  <c r="I22" i="1" l="1"/>
  <c r="G516" i="1" l="1"/>
  <c r="I29" i="1"/>
  <c r="G519" i="1"/>
  <c r="I519" i="1" s="1"/>
  <c r="G524" i="1"/>
  <c r="I524" i="1" s="1"/>
  <c r="G527" i="1"/>
  <c r="I527" i="1" s="1"/>
  <c r="G532" i="1"/>
  <c r="I532" i="1" s="1"/>
  <c r="G535" i="1"/>
  <c r="I535" i="1" s="1"/>
  <c r="G538" i="1"/>
  <c r="I538" i="1" s="1"/>
  <c r="G541" i="1"/>
  <c r="I541" i="1" s="1"/>
  <c r="G544" i="1"/>
  <c r="I544" i="1" s="1"/>
  <c r="G547" i="1"/>
  <c r="I547" i="1" s="1"/>
  <c r="I2" i="1"/>
  <c r="I4" i="1"/>
  <c r="I5" i="1"/>
  <c r="I6" i="1"/>
  <c r="I7" i="1"/>
  <c r="I8" i="1"/>
  <c r="I12" i="1"/>
  <c r="I13" i="1"/>
  <c r="I14" i="1"/>
  <c r="I41" i="1"/>
  <c r="I42" i="1"/>
  <c r="I43" i="1"/>
  <c r="I48" i="1"/>
  <c r="I49" i="1"/>
  <c r="I52" i="1"/>
  <c r="I54" i="1"/>
  <c r="I55" i="1"/>
  <c r="I56" i="1"/>
  <c r="I57" i="1"/>
  <c r="I58" i="1"/>
  <c r="I59" i="1"/>
  <c r="I60" i="1"/>
  <c r="I61" i="1"/>
  <c r="I63" i="1"/>
  <c r="I64" i="1"/>
  <c r="I65" i="1"/>
  <c r="I66" i="1"/>
  <c r="I69" i="1"/>
  <c r="I71" i="1"/>
  <c r="I72" i="1"/>
  <c r="I73" i="1"/>
  <c r="I74" i="1"/>
  <c r="I75" i="1"/>
  <c r="I80" i="1"/>
  <c r="I119" i="1"/>
  <c r="I120" i="1"/>
  <c r="I121" i="1"/>
  <c r="I122" i="1"/>
  <c r="I123" i="1"/>
  <c r="I124" i="1"/>
  <c r="I125" i="1"/>
  <c r="I126" i="1"/>
  <c r="I127" i="1"/>
  <c r="I128" i="1"/>
  <c r="I129" i="1"/>
  <c r="I131" i="1"/>
  <c r="I132" i="1"/>
  <c r="I158" i="1"/>
  <c r="I137" i="1"/>
  <c r="I138" i="1"/>
  <c r="I142" i="1"/>
  <c r="I144" i="1"/>
  <c r="I148" i="1"/>
  <c r="I150" i="1"/>
  <c r="I152" i="1"/>
  <c r="I153" i="1"/>
  <c r="I159" i="1"/>
  <c r="I166" i="1"/>
  <c r="I167" i="1"/>
  <c r="I169" i="1"/>
  <c r="I170" i="1"/>
  <c r="I171" i="1"/>
  <c r="I172" i="1"/>
  <c r="I174" i="1"/>
  <c r="I175" i="1"/>
  <c r="I176" i="1"/>
  <c r="I177" i="1"/>
  <c r="I178" i="1"/>
  <c r="I179" i="1"/>
  <c r="I180" i="1"/>
  <c r="I181" i="1"/>
  <c r="I182" i="1"/>
  <c r="I183" i="1"/>
  <c r="I184" i="1"/>
  <c r="I185" i="1"/>
  <c r="I186" i="1"/>
  <c r="I187" i="1"/>
  <c r="I188" i="1"/>
  <c r="I189" i="1"/>
  <c r="I190" i="1"/>
  <c r="I191" i="1"/>
  <c r="I192" i="1"/>
  <c r="I193" i="1"/>
  <c r="I194" i="1"/>
  <c r="I195" i="1"/>
  <c r="I196" i="1"/>
  <c r="I199" i="1"/>
  <c r="I200" i="1"/>
  <c r="I201" i="1"/>
  <c r="I202" i="1"/>
  <c r="I222" i="1"/>
  <c r="I223" i="1"/>
  <c r="I224" i="1"/>
  <c r="I225" i="1"/>
  <c r="I228" i="1"/>
  <c r="I229" i="1"/>
  <c r="I231" i="1"/>
  <c r="I232" i="1"/>
  <c r="I234" i="1"/>
  <c r="I235" i="1"/>
  <c r="I236" i="1"/>
  <c r="I237" i="1"/>
  <c r="I238" i="1"/>
  <c r="I239" i="1"/>
  <c r="I240" i="1"/>
  <c r="I241" i="1"/>
  <c r="I242" i="1"/>
  <c r="I243" i="1"/>
  <c r="I244" i="1"/>
  <c r="I245" i="1"/>
  <c r="I246" i="1"/>
  <c r="I251" i="1"/>
  <c r="I252" i="1"/>
  <c r="I260" i="1"/>
  <c r="I261" i="1"/>
  <c r="I262" i="1"/>
  <c r="I296" i="1"/>
  <c r="I297" i="1"/>
  <c r="I298" i="1"/>
  <c r="I299" i="1"/>
  <c r="I300" i="1"/>
  <c r="I303"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46" i="1"/>
  <c r="I347" i="1"/>
  <c r="I348" i="1"/>
  <c r="I349" i="1"/>
  <c r="I334" i="1"/>
  <c r="I352" i="1"/>
  <c r="I353" i="1"/>
  <c r="I335" i="1"/>
  <c r="I336" i="1"/>
  <c r="I337" i="1"/>
  <c r="I356" i="1"/>
  <c r="I363" i="1"/>
  <c r="I364" i="1"/>
  <c r="I367" i="1"/>
  <c r="I369" i="1"/>
  <c r="I370" i="1"/>
  <c r="I371" i="1"/>
  <c r="I372" i="1"/>
  <c r="I375" i="1"/>
  <c r="I376" i="1"/>
  <c r="I377" i="1"/>
  <c r="I378" i="1"/>
  <c r="I383" i="1"/>
  <c r="I385" i="1"/>
  <c r="I386" i="1"/>
  <c r="I388" i="1"/>
  <c r="I389" i="1"/>
  <c r="I390" i="1"/>
  <c r="I397" i="1"/>
  <c r="I399" i="1"/>
  <c r="I400" i="1"/>
  <c r="I401" i="1"/>
  <c r="I402" i="1"/>
  <c r="I403" i="1"/>
  <c r="I404" i="1"/>
  <c r="I408" i="1"/>
  <c r="I410" i="1"/>
  <c r="I411" i="1"/>
  <c r="I413" i="1"/>
  <c r="I421" i="1"/>
  <c r="I422" i="1"/>
  <c r="I423" i="1"/>
  <c r="I424" i="1"/>
  <c r="I427" i="1"/>
  <c r="I428" i="1"/>
  <c r="I429" i="1"/>
  <c r="I430" i="1"/>
  <c r="I431" i="1"/>
  <c r="I432" i="1"/>
  <c r="I433" i="1"/>
  <c r="I434" i="1"/>
  <c r="I435" i="1"/>
  <c r="I436" i="1"/>
  <c r="I460" i="1"/>
  <c r="I461" i="1"/>
  <c r="I462" i="1"/>
  <c r="I463" i="1"/>
  <c r="I464" i="1"/>
  <c r="I465" i="1"/>
  <c r="I466" i="1"/>
  <c r="I467" i="1"/>
  <c r="I468" i="1"/>
  <c r="I469"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518" i="1"/>
  <c r="I521" i="1"/>
  <c r="I526" i="1"/>
  <c r="I529" i="1"/>
  <c r="I534" i="1"/>
  <c r="I537" i="1"/>
  <c r="I540" i="1"/>
  <c r="I542" i="1"/>
  <c r="I543" i="1"/>
  <c r="I545" i="1"/>
  <c r="I546" i="1"/>
  <c r="I548" i="1"/>
  <c r="I549" i="1"/>
  <c r="I550" i="1"/>
  <c r="I551" i="1"/>
  <c r="I552" i="1"/>
  <c r="I553" i="1"/>
  <c r="I554" i="1"/>
  <c r="I555" i="1"/>
  <c r="I558" i="1"/>
  <c r="I559" i="1"/>
  <c r="I560" i="1"/>
  <c r="I561" i="1"/>
  <c r="I562" i="1"/>
  <c r="I564" i="1"/>
  <c r="I566" i="1"/>
  <c r="I567" i="1"/>
  <c r="I568" i="1"/>
  <c r="I569" i="1"/>
  <c r="I570" i="1"/>
  <c r="I571" i="1"/>
  <c r="I572" i="1"/>
  <c r="I573" i="1"/>
  <c r="I576" i="1"/>
  <c r="I588" i="1"/>
  <c r="I589" i="1"/>
  <c r="I590" i="1"/>
  <c r="I591" i="1"/>
  <c r="I592" i="1"/>
  <c r="I593" i="1"/>
  <c r="I516" i="1" l="1"/>
  <c r="J184" i="19"/>
  <c r="J183" i="19"/>
  <c r="J182" i="19"/>
  <c r="J181" i="19"/>
  <c r="J180" i="19"/>
  <c r="J179" i="19"/>
  <c r="J178" i="19"/>
  <c r="J177" i="19"/>
  <c r="J188" i="19"/>
  <c r="J187" i="19"/>
  <c r="J186" i="19"/>
  <c r="J185" i="19"/>
  <c r="J195" i="19"/>
  <c r="J194" i="19"/>
  <c r="J193" i="19"/>
  <c r="J191" i="19"/>
  <c r="J192" i="19"/>
  <c r="J267" i="19"/>
  <c r="J266" i="19"/>
  <c r="J263" i="19"/>
  <c r="J262" i="19"/>
  <c r="J261" i="19"/>
  <c r="J260" i="19"/>
  <c r="J259" i="19"/>
  <c r="J258" i="19"/>
  <c r="J257" i="19"/>
  <c r="J256" i="19"/>
  <c r="J255" i="19"/>
  <c r="J254" i="19"/>
  <c r="J253" i="19"/>
  <c r="J252" i="19"/>
  <c r="J251" i="19"/>
  <c r="J250" i="19"/>
  <c r="J249" i="19"/>
  <c r="J247" i="19"/>
  <c r="J246"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<sst xmlns="http://schemas.openxmlformats.org/spreadsheetml/2006/main" count="4666" uniqueCount="1789">
  <si>
    <t>Module</t>
    <phoneticPr fontId="2" type="noConversion"/>
  </si>
  <si>
    <t>Category</t>
    <phoneticPr fontId="2" type="noConversion"/>
  </si>
  <si>
    <t>Check Items</t>
    <phoneticPr fontId="2" type="noConversion"/>
  </si>
  <si>
    <t>Criteria</t>
    <phoneticPr fontId="2" type="noConversion"/>
  </si>
  <si>
    <t>Remark</t>
    <phoneticPr fontId="2" type="noConversion"/>
  </si>
  <si>
    <t>Z Stage</t>
    <phoneticPr fontId="2" type="noConversion"/>
  </si>
  <si>
    <t>Configuration</t>
    <phoneticPr fontId="2" type="noConversion"/>
  </si>
  <si>
    <t>Yes</t>
    <phoneticPr fontId="2" type="noConversion"/>
  </si>
  <si>
    <t>1Port, 1Slot Z Stage Position -300um</t>
    <phoneticPr fontId="2" type="noConversion"/>
  </si>
  <si>
    <t>Check upper limit sensor function</t>
  </si>
  <si>
    <t>Check lower limit sensor function</t>
  </si>
  <si>
    <t>Check encoder surface is clean</t>
  </si>
  <si>
    <t>Initial Z</t>
    <phoneticPr fontId="2" type="noConversion"/>
  </si>
  <si>
    <t>Performance</t>
    <phoneticPr fontId="2" type="noConversion"/>
  </si>
  <si>
    <t>Focus Stage</t>
    <phoneticPr fontId="2" type="noConversion"/>
  </si>
  <si>
    <t>HW limit+500um</t>
    <phoneticPr fontId="2" type="noConversion"/>
  </si>
  <si>
    <t>Yes</t>
  </si>
  <si>
    <t>XY Stage</t>
    <phoneticPr fontId="2" type="noConversion"/>
  </si>
  <si>
    <t>HCMNEW</t>
    <phoneticPr fontId="2" type="noConversion"/>
  </si>
  <si>
    <t>Check X axis (+) limit sensor function</t>
    <phoneticPr fontId="2" type="noConversion"/>
  </si>
  <si>
    <t>Check X axis (-) limit sensor function</t>
    <phoneticPr fontId="2" type="noConversion"/>
  </si>
  <si>
    <t>Check Y axis (+) limit sensor function</t>
    <phoneticPr fontId="2" type="noConversion"/>
  </si>
  <si>
    <t>Check Y axis (-) limit sensor function</t>
    <phoneticPr fontId="2" type="noConversion"/>
  </si>
  <si>
    <t>StageSafetyXMax</t>
    <phoneticPr fontId="2" type="noConversion"/>
  </si>
  <si>
    <t>StageSafetyXMin</t>
    <phoneticPr fontId="2" type="noConversion"/>
  </si>
  <si>
    <t>StageSafetyYMax</t>
    <phoneticPr fontId="2" type="noConversion"/>
  </si>
  <si>
    <t>StageSafetyYMin</t>
    <phoneticPr fontId="2" type="noConversion"/>
  </si>
  <si>
    <t>XY Stage(400mmx300mm)</t>
    <phoneticPr fontId="2" type="noConversion"/>
  </si>
  <si>
    <t>StrokeXMax</t>
    <phoneticPr fontId="2" type="noConversion"/>
  </si>
  <si>
    <t>StrokeXMin</t>
    <phoneticPr fontId="2" type="noConversion"/>
  </si>
  <si>
    <t>StrokeYMax</t>
    <phoneticPr fontId="2" type="noConversion"/>
  </si>
  <si>
    <t>StrokeYMin</t>
    <phoneticPr fontId="2" type="noConversion"/>
  </si>
  <si>
    <t>XY Stage(300mmx200mm)</t>
    <phoneticPr fontId="2" type="noConversion"/>
  </si>
  <si>
    <t>XY Stage(275mmx200mm)</t>
    <phoneticPr fontId="2" type="noConversion"/>
  </si>
  <si>
    <t>-</t>
    <phoneticPr fontId="2" type="noConversion"/>
  </si>
  <si>
    <t>EncoderResolution</t>
    <phoneticPr fontId="2" type="noConversion"/>
  </si>
  <si>
    <t>Check X axis encoder surface is clean</t>
  </si>
  <si>
    <t>Check Y axis encoder surface is clean</t>
  </si>
  <si>
    <t>Serial Port #</t>
    <phoneticPr fontId="2" type="noConversion"/>
  </si>
  <si>
    <t>BaudRate</t>
  </si>
  <si>
    <t>Suction</t>
    <phoneticPr fontId="2" type="noConversion"/>
  </si>
  <si>
    <t>Calibration</t>
    <phoneticPr fontId="2" type="noConversion"/>
  </si>
  <si>
    <t>Plus direction move Drift, Y move Y Scan(YY) 700sec</t>
  </si>
  <si>
    <t>Plus direction move Drift, X move Y Scan(XY) 700sec</t>
  </si>
  <si>
    <t>Plus direction move Drift, Y move X Scan(YX) 700sec</t>
  </si>
  <si>
    <t>Minus direction move Drift, X move X Scan(XX) 700sec</t>
  </si>
  <si>
    <t>Minus direction move Drift, Y move Y Scan(YY) 700sec</t>
  </si>
  <si>
    <t>Minus direction move Drift, X move Y Scan(XY) 700sec</t>
  </si>
  <si>
    <t>Minus direction move Drift, Y move X Scan(YX) 700sec</t>
  </si>
  <si>
    <t>Facility Controller</t>
    <phoneticPr fontId="2" type="noConversion"/>
  </si>
  <si>
    <t>No power trip during power reset or usage</t>
    <phoneticPr fontId="2" type="noConversion"/>
  </si>
  <si>
    <t>No</t>
    <phoneticPr fontId="2" type="noConversion"/>
  </si>
  <si>
    <t>BaudRate</t>
    <phoneticPr fontId="2" type="noConversion"/>
  </si>
  <si>
    <t>Check facility power cable connection</t>
  </si>
  <si>
    <t>Signal Tower Color</t>
    <phoneticPr fontId="2" type="noConversion"/>
  </si>
  <si>
    <t>Lower Temperature Limit</t>
    <phoneticPr fontId="2" type="noConversion"/>
  </si>
  <si>
    <t>Upper Temperature Limit</t>
    <phoneticPr fontId="2" type="noConversion"/>
  </si>
  <si>
    <t>Installed</t>
    <phoneticPr fontId="2" type="noConversion"/>
  </si>
  <si>
    <t>PLC Version</t>
    <phoneticPr fontId="2" type="noConversion"/>
  </si>
  <si>
    <t>Vision</t>
    <phoneticPr fontId="2" type="noConversion"/>
  </si>
  <si>
    <t>AVT_GIGECAM</t>
    <phoneticPr fontId="2" type="noConversion"/>
  </si>
  <si>
    <t>Vision software version</t>
    <phoneticPr fontId="2" type="noConversion"/>
  </si>
  <si>
    <t>7.0.2</t>
    <phoneticPr fontId="2" type="noConversion"/>
  </si>
  <si>
    <t>Check sample autofocus function</t>
  </si>
  <si>
    <t>Check tip auto focus function</t>
  </si>
  <si>
    <t>Check tip pattern recognition</t>
  </si>
  <si>
    <t>AFM Controller</t>
    <phoneticPr fontId="2" type="noConversion"/>
  </si>
  <si>
    <t xml:space="preserve">Firmware version of Base board </t>
    <phoneticPr fontId="2" type="noConversion"/>
  </si>
  <si>
    <t>Firmware version of Motor board</t>
    <phoneticPr fontId="2" type="noConversion"/>
  </si>
  <si>
    <t>AFM Head</t>
    <phoneticPr fontId="2" type="noConversion"/>
  </si>
  <si>
    <t>XY Scanner</t>
    <phoneticPr fontId="2" type="noConversion"/>
  </si>
  <si>
    <t>XY Orthogonality</t>
    <phoneticPr fontId="2" type="noConversion"/>
  </si>
  <si>
    <t>SlidingStage</t>
    <phoneticPr fontId="2" type="noConversion"/>
  </si>
  <si>
    <t>Maker(Motion Control Board)</t>
    <phoneticPr fontId="2" type="noConversion"/>
  </si>
  <si>
    <t>Galil</t>
    <phoneticPr fontId="2" type="noConversion"/>
  </si>
  <si>
    <t>ATX</t>
    <phoneticPr fontId="2" type="noConversion"/>
  </si>
  <si>
    <t>Computer</t>
    <phoneticPr fontId="2" type="noConversion"/>
  </si>
  <si>
    <t>Disable power saving mode in OS and BIOS</t>
    <phoneticPr fontId="2" type="noConversion"/>
  </si>
  <si>
    <t>Enable RAID</t>
    <phoneticPr fontId="2" type="noConversion"/>
  </si>
  <si>
    <t>Save computer configuration file</t>
  </si>
  <si>
    <t>Dongle for pattern recognition</t>
    <phoneticPr fontId="2" type="noConversion"/>
  </si>
  <si>
    <t>EFEM</t>
    <phoneticPr fontId="2" type="noConversion"/>
  </si>
  <si>
    <t>Firmware backup for Yaskawa robot</t>
    <phoneticPr fontId="2" type="noConversion"/>
  </si>
  <si>
    <t>Level to X axis on the load port 1</t>
    <phoneticPr fontId="2" type="noConversion"/>
  </si>
  <si>
    <t>Level to X axis on the load port 2</t>
    <phoneticPr fontId="2" type="noConversion"/>
  </si>
  <si>
    <t>Level to Y axis on the load port 1</t>
    <phoneticPr fontId="2" type="noConversion"/>
  </si>
  <si>
    <t>Level to Y axis on the load port 2</t>
    <phoneticPr fontId="2" type="noConversion"/>
  </si>
  <si>
    <t>RFID type</t>
    <phoneticPr fontId="2" type="noConversion"/>
  </si>
  <si>
    <t>Indexer SW version</t>
    <phoneticPr fontId="2" type="noConversion"/>
  </si>
  <si>
    <t>Torque of fixing screws for End-Effector</t>
    <phoneticPr fontId="2" type="noConversion"/>
  </si>
  <si>
    <t>Centering accuracy of pre-aligner</t>
    <phoneticPr fontId="2" type="noConversion"/>
  </si>
  <si>
    <t>Air flow speed</t>
    <phoneticPr fontId="2" type="noConversion"/>
  </si>
  <si>
    <t>Air pressure @ 60% of FFU</t>
    <phoneticPr fontId="2" type="noConversion"/>
  </si>
  <si>
    <t>Cleanness of EFEM w/ airborne particle measurement</t>
    <phoneticPr fontId="2" type="noConversion"/>
  </si>
  <si>
    <t>Allowable max warpage, w/ SiC sample chuck</t>
    <phoneticPr fontId="2" type="noConversion"/>
  </si>
  <si>
    <t>Allowable max warpage, w/ Al sample chuck</t>
    <phoneticPr fontId="2" type="noConversion"/>
  </si>
  <si>
    <t>SW</t>
    <phoneticPr fontId="2" type="noConversion"/>
  </si>
  <si>
    <t>FFU Check : XEA turn FFU ON / OFF function</t>
    <phoneticPr fontId="2" type="noConversion"/>
  </si>
  <si>
    <t>Normal=60%, Active=20%</t>
  </si>
  <si>
    <t>Simulated Automation Test</t>
    <phoneticPr fontId="2" type="noConversion"/>
  </si>
  <si>
    <t>XEA version</t>
    <phoneticPr fontId="2" type="noConversion"/>
  </si>
  <si>
    <t>System Noise</t>
    <phoneticPr fontId="2" type="noConversion"/>
  </si>
  <si>
    <t># of AVIS Element</t>
    <phoneticPr fontId="2" type="noConversion"/>
  </si>
  <si>
    <t>Floor vs AFM Base</t>
    <phoneticPr fontId="2" type="noConversion"/>
  </si>
  <si>
    <t>RMS of ZeroScan</t>
    <phoneticPr fontId="2" type="noConversion"/>
  </si>
  <si>
    <t>Skirt</t>
    <phoneticPr fontId="2" type="noConversion"/>
  </si>
  <si>
    <t>EMO cover</t>
    <phoneticPr fontId="2" type="noConversion"/>
  </si>
  <si>
    <t>Vacuum pressure on sample chuck</t>
    <phoneticPr fontId="2" type="noConversion"/>
  </si>
  <si>
    <t>White</t>
    <phoneticPr fontId="2" type="noConversion"/>
  </si>
  <si>
    <t>Green, White</t>
    <phoneticPr fontId="2" type="noConversion"/>
  </si>
  <si>
    <t>Galil Suite Version</t>
    <phoneticPr fontId="2" type="noConversion"/>
  </si>
  <si>
    <t>1.0.3.1088</t>
  </si>
  <si>
    <t>Check chuck surface no damage</t>
    <phoneticPr fontId="2" type="noConversion"/>
  </si>
  <si>
    <t>A/E FFU set on 100% and 20% then check RPM change</t>
  </si>
  <si>
    <t>Sample Chuck</t>
    <phoneticPr fontId="2" type="noConversion"/>
  </si>
  <si>
    <t>Main Body</t>
    <phoneticPr fontId="2" type="noConversion"/>
  </si>
  <si>
    <t xml:space="preserve">OpticalAxisShiftPerFocusX </t>
    <phoneticPr fontId="2" type="noConversion"/>
  </si>
  <si>
    <t>OpticalAxisShiftPerFocusY</t>
    <phoneticPr fontId="2" type="noConversion"/>
  </si>
  <si>
    <t>Line voltage selection</t>
    <phoneticPr fontId="2" type="noConversion"/>
  </si>
  <si>
    <t>Facility Controller(T1)</t>
    <phoneticPr fontId="2" type="noConversion"/>
  </si>
  <si>
    <t>Facility Controller(UPS)</t>
    <phoneticPr fontId="2" type="noConversion"/>
  </si>
  <si>
    <t>Max</t>
    <phoneticPr fontId="2" type="noConversion"/>
  </si>
  <si>
    <t>Min</t>
    <phoneticPr fontId="2" type="noConversion"/>
  </si>
  <si>
    <t>Unit</t>
    <phoneticPr fontId="2" type="noConversion"/>
  </si>
  <si>
    <t>nm</t>
  </si>
  <si>
    <t>nm</t>
    <phoneticPr fontId="2" type="noConversion"/>
  </si>
  <si>
    <t>V</t>
    <phoneticPr fontId="2" type="noConversion"/>
  </si>
  <si>
    <t>um</t>
    <phoneticPr fontId="2" type="noConversion"/>
  </si>
  <si>
    <t>Mpa</t>
    <phoneticPr fontId="2" type="noConversion"/>
  </si>
  <si>
    <t>kpa</t>
    <phoneticPr fontId="2" type="noConversion"/>
  </si>
  <si>
    <t>Pa</t>
    <phoneticPr fontId="2" type="noConversion"/>
  </si>
  <si>
    <t>Version</t>
    <phoneticPr fontId="2" type="noConversion"/>
  </si>
  <si>
    <t>AE type</t>
    <phoneticPr fontId="2" type="noConversion"/>
  </si>
  <si>
    <t>VAC</t>
    <phoneticPr fontId="2" type="noConversion"/>
  </si>
  <si>
    <t>kPa</t>
    <phoneticPr fontId="2" type="noConversion"/>
  </si>
  <si>
    <t>um/s</t>
    <phoneticPr fontId="2" type="noConversion"/>
  </si>
  <si>
    <t>%</t>
  </si>
  <si>
    <t>%</t>
    <phoneticPr fontId="2" type="noConversion"/>
  </si>
  <si>
    <t>Sample Chuck(w/ AI)</t>
    <phoneticPr fontId="2" type="noConversion"/>
  </si>
  <si>
    <t>Sample Chuck(w/ SiC)</t>
    <phoneticPr fontId="2" type="noConversion"/>
  </si>
  <si>
    <t>Sample Chuck(C-AFM)</t>
    <phoneticPr fontId="2" type="noConversion"/>
  </si>
  <si>
    <t>mm</t>
    <phoneticPr fontId="2" type="noConversion"/>
  </si>
  <si>
    <t>ea</t>
    <phoneticPr fontId="2" type="noConversion"/>
  </si>
  <si>
    <t>mV/nm</t>
    <phoneticPr fontId="2" type="noConversion"/>
  </si>
  <si>
    <t>FPS</t>
    <phoneticPr fontId="2" type="noConversion"/>
  </si>
  <si>
    <t>Camera model</t>
    <phoneticPr fontId="2" type="noConversion"/>
  </si>
  <si>
    <t>0 : Falling
1 : Raising
2 : Both</t>
    <phoneticPr fontId="2" type="noConversion"/>
  </si>
  <si>
    <t>Default 1.5</t>
    <phoneticPr fontId="2" type="noConversion"/>
  </si>
  <si>
    <t>Configuration</t>
  </si>
  <si>
    <t>EncoderResolution</t>
  </si>
  <si>
    <t>Ionizer Peak Power</t>
    <phoneticPr fontId="2" type="noConversion"/>
  </si>
  <si>
    <t>KeV</t>
    <phoneticPr fontId="2" type="noConversion"/>
  </si>
  <si>
    <t>Facility Controller(PB)</t>
    <phoneticPr fontId="2" type="noConversion"/>
  </si>
  <si>
    <t>StrokeX</t>
    <phoneticPr fontId="2" type="noConversion"/>
  </si>
  <si>
    <t>StrokeY</t>
    <phoneticPr fontId="2" type="noConversion"/>
  </si>
  <si>
    <t>AFM Controller type</t>
    <phoneticPr fontId="2" type="noConversion"/>
  </si>
  <si>
    <t>EFEM(BCR)</t>
    <phoneticPr fontId="2" type="noConversion"/>
  </si>
  <si>
    <t>EFEM(OCR)</t>
    <phoneticPr fontId="2" type="noConversion"/>
  </si>
  <si>
    <t>EFEM(RFID)</t>
    <phoneticPr fontId="2" type="noConversion"/>
  </si>
  <si>
    <t>EFEM(TDK loadport)</t>
    <phoneticPr fontId="2" type="noConversion"/>
  </si>
  <si>
    <t>EFEM(Yaskawa)</t>
    <phoneticPr fontId="2" type="noConversion"/>
  </si>
  <si>
    <t>Performance</t>
  </si>
  <si>
    <t>-</t>
  </si>
  <si>
    <t>EFEM FFU set on 100% and 20% then check RPM change</t>
    <phoneticPr fontId="2" type="noConversion"/>
  </si>
  <si>
    <t>TSH</t>
    <phoneticPr fontId="2" type="noConversion"/>
  </si>
  <si>
    <t>Z Height noise</t>
    <phoneticPr fontId="2" type="noConversion"/>
  </si>
  <si>
    <t>StageSafetyX</t>
    <phoneticPr fontId="2" type="noConversion"/>
  </si>
  <si>
    <t>StageSafetyY</t>
    <phoneticPr fontId="2" type="noConversion"/>
  </si>
  <si>
    <t>C-AFM, NC-AFM</t>
    <phoneticPr fontId="2" type="noConversion"/>
  </si>
  <si>
    <t>Misc</t>
    <phoneticPr fontId="2" type="noConversion"/>
  </si>
  <si>
    <t>5.2.0 B28</t>
    <phoneticPr fontId="4" type="noConversion"/>
  </si>
  <si>
    <t>Computer(HP)</t>
    <phoneticPr fontId="2" type="noConversion"/>
  </si>
  <si>
    <t>Install maintenance software for TDK loadport</t>
    <phoneticPr fontId="2" type="noConversion"/>
  </si>
  <si>
    <t>N/A</t>
    <phoneticPr fontId="2" type="noConversion"/>
  </si>
  <si>
    <t>AFM Head(Long)</t>
    <phoneticPr fontId="2" type="noConversion"/>
  </si>
  <si>
    <t>AFM Head(Standard)</t>
    <phoneticPr fontId="2" type="noConversion"/>
  </si>
  <si>
    <t xml:space="preserve">Serial Port # </t>
    <phoneticPr fontId="2" type="noConversion"/>
  </si>
  <si>
    <t>PASS/FAIL</t>
    <phoneticPr fontId="2" type="noConversion"/>
  </si>
  <si>
    <t>Customer FAT</t>
    <phoneticPr fontId="2" type="noConversion"/>
  </si>
  <si>
    <t>AutoFocus Range (Tip Focus / Sample Focus)</t>
    <phoneticPr fontId="2" type="noConversion"/>
  </si>
  <si>
    <t>AutoFocus Speed (Tip Focus / Sample Focus)</t>
    <phoneticPr fontId="2" type="noConversion"/>
  </si>
  <si>
    <t>Fine Autofocus Range (Tip Focus / Sample Focus)</t>
    <phoneticPr fontId="2" type="noConversion"/>
  </si>
  <si>
    <t>Fine Autofocus Speed (Tip Focus / Sample Focus)</t>
    <phoneticPr fontId="2" type="noConversion"/>
  </si>
  <si>
    <t>Fine Autofocus Offset (Tip Focus / Sample Focus)</t>
    <phoneticPr fontId="2" type="noConversion"/>
  </si>
  <si>
    <t>Version</t>
    <phoneticPr fontId="10" type="noConversion"/>
  </si>
  <si>
    <t>작성자</t>
    <phoneticPr fontId="10" type="noConversion"/>
  </si>
  <si>
    <t>적용시기</t>
    <phoneticPr fontId="10" type="noConversion"/>
  </si>
  <si>
    <t>Check 항목</t>
    <phoneticPr fontId="10" type="noConversion"/>
  </si>
  <si>
    <t>상세내용</t>
    <phoneticPr fontId="10" type="noConversion"/>
  </si>
  <si>
    <t>new 양식 생성</t>
  </si>
  <si>
    <t>장순영</t>
    <phoneticPr fontId="2" type="noConversion"/>
  </si>
  <si>
    <t>Torque Profile (50mm, 20um/s)</t>
    <phoneticPr fontId="2" type="noConversion"/>
  </si>
  <si>
    <t>EFEM(Dual Load port)</t>
    <phoneticPr fontId="2" type="noConversion"/>
  </si>
  <si>
    <t>Sample Chuck(w/ SiC Anti-warpage)</t>
    <phoneticPr fontId="2" type="noConversion"/>
  </si>
  <si>
    <t>XY Scanner(NX-Wafer 200mm)</t>
    <phoneticPr fontId="2" type="noConversion"/>
  </si>
  <si>
    <t>XY Scanner(NX-Wafer 300mm)</t>
    <phoneticPr fontId="2" type="noConversion"/>
  </si>
  <si>
    <t>XY Stage(NX-Wafer 200mm)</t>
    <phoneticPr fontId="2" type="noConversion"/>
  </si>
  <si>
    <t>XY Stage(NX-Wafer 300mm)</t>
    <phoneticPr fontId="2" type="noConversion"/>
  </si>
  <si>
    <t>degree</t>
    <phoneticPr fontId="2" type="noConversion"/>
  </si>
  <si>
    <t>V</t>
  </si>
  <si>
    <t>Misc(Customer FAT)</t>
    <phoneticPr fontId="2" type="noConversion"/>
  </si>
  <si>
    <t>Recipe 필요</t>
    <phoneticPr fontId="2" type="noConversion"/>
  </si>
  <si>
    <t>OCR(Sample ID Reader) Score</t>
    <phoneticPr fontId="2" type="noConversion"/>
  </si>
  <si>
    <t>Green, Black, Blue</t>
    <phoneticPr fontId="2" type="noConversion"/>
  </si>
  <si>
    <t>Disable Windows update</t>
    <phoneticPr fontId="2" type="noConversion"/>
  </si>
  <si>
    <t>Computer model</t>
    <phoneticPr fontId="2" type="noConversion"/>
  </si>
  <si>
    <t>BCR(Bar Code Reader) teach</t>
    <phoneticPr fontId="2" type="noConversion"/>
  </si>
  <si>
    <t>Encoder model</t>
    <phoneticPr fontId="2" type="noConversion"/>
  </si>
  <si>
    <t>Temperature sensor on Z stage</t>
    <phoneticPr fontId="2" type="noConversion"/>
  </si>
  <si>
    <t>Firmware version of Frame board</t>
    <phoneticPr fontId="2" type="noConversion"/>
  </si>
  <si>
    <t>Seismic bracket</t>
    <phoneticPr fontId="2" type="noConversion"/>
  </si>
  <si>
    <t>WLI Z scanner</t>
    <phoneticPr fontId="2" type="noConversion"/>
  </si>
  <si>
    <t>[Spare Part] AFM Head(Standard)</t>
  </si>
  <si>
    <r>
      <rPr>
        <b/>
        <sz val="36"/>
        <color theme="1"/>
        <rFont val="times"/>
        <family val="1"/>
      </rPr>
      <t>Product Quality Conformity Certificate</t>
    </r>
    <r>
      <rPr>
        <b/>
        <sz val="36"/>
        <color theme="1"/>
        <rFont val="맑은 고딕"/>
        <family val="2"/>
        <charset val="129"/>
      </rPr>
      <t xml:space="preserve"> </t>
    </r>
    <phoneticPr fontId="2" type="noConversion"/>
  </si>
  <si>
    <t>Product Model</t>
    <phoneticPr fontId="2" type="noConversion"/>
  </si>
  <si>
    <t>SID(System ID) Number</t>
    <phoneticPr fontId="2" type="noConversion"/>
  </si>
  <si>
    <t>Reference Document</t>
    <phoneticPr fontId="2" type="noConversion"/>
  </si>
  <si>
    <t>Date of Final Test</t>
    <phoneticPr fontId="2" type="noConversion"/>
  </si>
  <si>
    <t>End User</t>
    <phoneticPr fontId="2" type="noConversion"/>
  </si>
  <si>
    <t>v3.00</t>
    <phoneticPr fontId="2" type="noConversion"/>
  </si>
  <si>
    <t>v3.00 통합 양식으로 새롭게 제작 함.</t>
    <phoneticPr fontId="2" type="noConversion"/>
  </si>
  <si>
    <t>EFEM(FFU Open type)</t>
    <phoneticPr fontId="2" type="noConversion"/>
  </si>
  <si>
    <t>EFEM(FFU Louver type)</t>
    <phoneticPr fontId="2" type="noConversion"/>
  </si>
  <si>
    <t>Air pressure @ 100% of FFU</t>
    <phoneticPr fontId="2" type="noConversion"/>
  </si>
  <si>
    <t>v3.01</t>
  </si>
  <si>
    <t>Air pressure test 항목 세분화</t>
    <phoneticPr fontId="2" type="noConversion"/>
  </si>
  <si>
    <t>⑵ Spec 변경 1.2Pa ⇒ 1Pa</t>
    <phoneticPr fontId="2" type="noConversion"/>
  </si>
  <si>
    <t>2. Air pressure @ 100% of FFU 추가</t>
    <phoneticPr fontId="2" type="noConversion"/>
  </si>
  <si>
    <t>⑴ Module name 변경 : EFEM ⇒ EFEM(FFU Open type)</t>
    <phoneticPr fontId="2" type="noConversion"/>
  </si>
  <si>
    <t>1. Air pressure @ 60% of FFU 변경</t>
    <phoneticPr fontId="2" type="noConversion"/>
  </si>
  <si>
    <t>Rining test</t>
    <phoneticPr fontId="2" type="noConversion"/>
  </si>
  <si>
    <t>Spec 기입 : 1nm</t>
    <phoneticPr fontId="2" type="noConversion"/>
  </si>
  <si>
    <t>Profile noise</t>
    <phoneticPr fontId="2" type="noConversion"/>
  </si>
  <si>
    <t>Rq값 기입으로 변경</t>
    <phoneticPr fontId="2" type="noConversion"/>
  </si>
  <si>
    <t>Spec 기입 : 0.2nm</t>
    <phoneticPr fontId="2" type="noConversion"/>
  </si>
  <si>
    <t>EFEM (Wafer, WLI, Mask)</t>
    <phoneticPr fontId="2" type="noConversion"/>
  </si>
  <si>
    <t>XY Scanner (Wafer, WLI, Mask)</t>
    <phoneticPr fontId="2" type="noConversion"/>
  </si>
  <si>
    <t>Sliding Stage (Wafer, WLI)</t>
    <phoneticPr fontId="2" type="noConversion"/>
  </si>
  <si>
    <t>양식 변경</t>
    <phoneticPr fontId="2" type="noConversion"/>
  </si>
  <si>
    <t>"Serial Number" 탭 삭제</t>
    <phoneticPr fontId="2" type="noConversion"/>
  </si>
  <si>
    <t>"Last" 탭에 Product Quality Conformity Certificate 페이지 변경</t>
    <phoneticPr fontId="2" type="noConversion"/>
  </si>
  <si>
    <t>sliding stage 오타 수정</t>
    <phoneticPr fontId="2" type="noConversion"/>
  </si>
  <si>
    <t>Spec 오류 수정</t>
    <phoneticPr fontId="2" type="noConversion"/>
  </si>
  <si>
    <t>HomeMode Spec 수정 : 3 ⇒ 4</t>
    <phoneticPr fontId="2" type="noConversion"/>
  </si>
  <si>
    <t>AFM Head(Auto Align)</t>
    <phoneticPr fontId="2" type="noConversion"/>
  </si>
  <si>
    <t>Auto PSPD Alignment (A-B)의 module 명 수정 : AFM Head ⇒ AFM Head(Auto Align)</t>
    <phoneticPr fontId="2" type="noConversion"/>
  </si>
  <si>
    <t>AFM Head(Standard/Long) (Wafer, WLI)</t>
    <phoneticPr fontId="2" type="noConversion"/>
  </si>
  <si>
    <t xml:space="preserve">Check item 명 수정 </t>
    <phoneticPr fontId="2" type="noConversion"/>
  </si>
  <si>
    <t>MicrometerPerAdcHigh of Z Height in DB ⇒ Z Height Calibration(Large Mode) : ZDetector MicrometerPerAdcHigh</t>
    <phoneticPr fontId="2" type="noConversion"/>
  </si>
  <si>
    <t>MicrometerPerDacHigh of Z Height in DB ⇒ Z Drive Calibration(Large Mode) : ZSanner MicrometerPerDacHigh</t>
    <phoneticPr fontId="2" type="noConversion"/>
  </si>
  <si>
    <t xml:space="preserve">Spec 수정 </t>
    <phoneticPr fontId="2" type="noConversion"/>
  </si>
  <si>
    <t>Z Height Calibration(Large Mode) : ZDetector MicrometerPerAdcHigh : min 25 ⇒ min 23</t>
    <phoneticPr fontId="2" type="noConversion"/>
  </si>
  <si>
    <t>Z Drive Calibration(Large Mode) : ZSanner MicrometerPerDacHigh : max 12 ⇒ max 14</t>
    <phoneticPr fontId="2" type="noConversion"/>
  </si>
  <si>
    <t>TSH(Mask)</t>
    <phoneticPr fontId="2" type="noConversion"/>
  </si>
  <si>
    <t>System Noise(Long/Standard)</t>
    <phoneticPr fontId="2" type="noConversion"/>
  </si>
  <si>
    <t>Check item 명 오타 수정</t>
    <phoneticPr fontId="2" type="noConversion"/>
  </si>
  <si>
    <t>Module 명 수정</t>
    <phoneticPr fontId="2" type="noConversion"/>
  </si>
  <si>
    <t>ATX(Auto Align Head)</t>
    <phoneticPr fontId="2" type="noConversion"/>
  </si>
  <si>
    <r>
      <rPr>
        <sz val="10"/>
        <rFont val="맑은 고딕"/>
        <family val="3"/>
        <charset val="129"/>
        <scheme val="minor"/>
      </rPr>
      <t>A ± B</t>
    </r>
    <r>
      <rPr>
        <sz val="10"/>
        <color theme="1"/>
        <rFont val="맑은 고딕"/>
        <family val="3"/>
        <charset val="129"/>
        <scheme val="minor"/>
      </rPr>
      <t xml:space="preserve"> difference during 3times(FT2) run test module 명 수정 : ATX ⇒ ATX(Auto Align Head)</t>
    </r>
    <phoneticPr fontId="2" type="noConversion"/>
  </si>
  <si>
    <t>Z Height MicrometerPerAdcHigh ⇒ Z Height Calibration : ZDetector MicrometerPerAdcHigh</t>
    <phoneticPr fontId="2" type="noConversion"/>
  </si>
  <si>
    <t>Z Drive MicrometerPerDacHigh ⇒ Z Drive Calibration : ZSanner MicrometerPerDacHigh</t>
    <phoneticPr fontId="2" type="noConversion"/>
  </si>
  <si>
    <t>Z Height Calibration : ZDetector MicrometerPerAdcHigh : min 25 ⇒ min 23</t>
    <phoneticPr fontId="2" type="noConversion"/>
  </si>
  <si>
    <t>v3.1.1</t>
    <phoneticPr fontId="2" type="noConversion"/>
  </si>
  <si>
    <t xml:space="preserve">버전 관리 변경 v3.xx ⇒ v3.x.x (두번째 자리 변경은 spec 및 내용 변경관련 주요한 사항 수정, 세번째 자리는 오타 수정 등 간단한 사항 수정) </t>
    <phoneticPr fontId="2" type="noConversion"/>
  </si>
  <si>
    <t>ATX(Wafer, WLI, Mask, Spare Part)</t>
    <phoneticPr fontId="2" type="noConversion"/>
  </si>
  <si>
    <t>XY Scanner(Wafer, WLI)</t>
    <phoneticPr fontId="2" type="noConversion"/>
  </si>
  <si>
    <t>X1Scanner Calibration(Closed loop) : XDetector MicrometerPerAdc (X1) 로 변경</t>
    <phoneticPr fontId="2" type="noConversion"/>
  </si>
  <si>
    <t>X2Scanner Calibration(Closed loop) : XDetector AuxMicrometerPerAdc (X2) 로 변경</t>
    <phoneticPr fontId="2" type="noConversion"/>
  </si>
  <si>
    <t>Y1Scanner Calibration(Closed loop) : YDetector MicrometerPerAdc (Y1) 로 변경</t>
    <phoneticPr fontId="2" type="noConversion"/>
  </si>
  <si>
    <t>Y2Scanner Calibration(Closed loop) : YDetector AuxMicrometerPerAdc (Y2) 로 변경</t>
    <phoneticPr fontId="2" type="noConversion"/>
  </si>
  <si>
    <t>Xscanner Calibration(Open loop) : XScanner MicrometerPerDacHigh 로 변경</t>
    <phoneticPr fontId="2" type="noConversion"/>
  </si>
  <si>
    <t>Yscanner Calibration(Open loop) : YScanner MicrometerPerDacHigh 로 변경</t>
    <phoneticPr fontId="2" type="noConversion"/>
  </si>
  <si>
    <t>Closed loop scanning range : X/YScanner ServoScanRangeMicrometer 로 변경</t>
    <phoneticPr fontId="2" type="noConversion"/>
  </si>
  <si>
    <t>EFEM(RFID) (Wafer, WLI, Mask)</t>
    <phoneticPr fontId="2" type="noConversion"/>
  </si>
  <si>
    <t>LW ⇒ LF</t>
    <phoneticPr fontId="2" type="noConversion"/>
  </si>
  <si>
    <t>System Noise(Long-S/S), System Noise(Standard-S/S) 로 변경</t>
    <phoneticPr fontId="2" type="noConversion"/>
  </si>
  <si>
    <t>OverProfileAfterMM Spec 수정 : 0.1 ⇒ 0.2</t>
    <phoneticPr fontId="2" type="noConversion"/>
  </si>
  <si>
    <t>OverProfileBeforeMM Spec 수정 : 0.1 ⇒ 0.2</t>
    <phoneticPr fontId="2" type="noConversion"/>
  </si>
  <si>
    <t>필터링 후 순번 오류 수정(함수변경)</t>
    <phoneticPr fontId="2" type="noConversion"/>
  </si>
  <si>
    <t>Wafer/WLI : IND-M, IND-M1, Mask : IND-M1</t>
    <phoneticPr fontId="2" type="noConversion"/>
  </si>
  <si>
    <t>기준 추가 : IND-M1</t>
    <phoneticPr fontId="2" type="noConversion"/>
  </si>
  <si>
    <t>Up and Down of ATX</t>
    <phoneticPr fontId="2" type="noConversion"/>
  </si>
  <si>
    <t>Facility Controller (Wafer, WLI, Mask)</t>
    <phoneticPr fontId="2" type="noConversion"/>
  </si>
  <si>
    <t>AFM Controller (WLI)</t>
    <phoneticPr fontId="2" type="noConversion"/>
  </si>
  <si>
    <t>Check Lift Pin CDA Leak 으로 변경</t>
    <phoneticPr fontId="2" type="noConversion"/>
  </si>
  <si>
    <t>Sample Chuck (Wafer, WLI)</t>
    <phoneticPr fontId="2" type="noConversion"/>
  </si>
  <si>
    <t>v3.2.1</t>
    <phoneticPr fontId="2" type="noConversion"/>
  </si>
  <si>
    <t>FullRecoveryProfileLength Spec 수정 : 20 ⇒ 25</t>
    <phoneticPr fontId="2" type="noConversion"/>
  </si>
  <si>
    <t xml:space="preserve">Spec 오류 수정 </t>
    <phoneticPr fontId="2" type="noConversion"/>
  </si>
  <si>
    <t>SlidingStage(10mm)</t>
    <phoneticPr fontId="2" type="noConversion"/>
  </si>
  <si>
    <t>항목 세분화</t>
    <phoneticPr fontId="2" type="noConversion"/>
  </si>
  <si>
    <t>Vision (Wafer, WLI, Mask)</t>
    <phoneticPr fontId="2" type="noConversion"/>
  </si>
  <si>
    <t>LightSorce(LED) Color : 선택 가능하게끔 변경 (White, Yellow)</t>
    <phoneticPr fontId="2" type="noConversion"/>
  </si>
  <si>
    <t>SlidingStage(25mm,50mm)</t>
    <phoneticPr fontId="2" type="noConversion"/>
  </si>
  <si>
    <t>POSMAX, POSMIN (10mm) 체크항목 생성</t>
    <phoneticPr fontId="2" type="noConversion"/>
  </si>
  <si>
    <t>XY Linearity : X, Y 분리</t>
    <phoneticPr fontId="2" type="noConversion"/>
  </si>
  <si>
    <t xml:space="preserve">Address:192.168.0.1, Subnet mask: 255.255.255.0 </t>
    <phoneticPr fontId="2" type="noConversion"/>
  </si>
  <si>
    <t xml:space="preserve">Address:169.254.154.1, Subnet mask: 255.255.255.0 </t>
    <phoneticPr fontId="2" type="noConversion"/>
  </si>
  <si>
    <t xml:space="preserve">Address:169.254.100.1, Subnet mask: 255.255.255.0 </t>
    <phoneticPr fontId="2" type="noConversion"/>
  </si>
  <si>
    <t>System Noise(Long head W/Sliding Stage), System Nois(Standard head W/Sliding Stage) 로 변경</t>
    <phoneticPr fontId="2" type="noConversion"/>
  </si>
  <si>
    <t>Facility Controller(Wafer, WLI, Mask)</t>
    <phoneticPr fontId="2" type="noConversion"/>
  </si>
  <si>
    <t>Facility Cotroller Serial port# : T1에만 적용, Mask는 PB이기에 삭제</t>
    <phoneticPr fontId="2" type="noConversion"/>
  </si>
  <si>
    <t>Module 명 수정 및 삭제</t>
    <phoneticPr fontId="2" type="noConversion"/>
  </si>
  <si>
    <t>Auto PSPD Alignment (A-B) : ±0.5V</t>
    <phoneticPr fontId="2" type="noConversion"/>
  </si>
  <si>
    <t>Full Stroke 10mm, 25mm/50mm 로 항목 세분화</t>
    <phoneticPr fontId="2" type="noConversion"/>
  </si>
  <si>
    <t>Check item 추가</t>
    <phoneticPr fontId="2" type="noConversion"/>
  </si>
  <si>
    <t>White Balance 설정 추가</t>
    <phoneticPr fontId="2" type="noConversion"/>
  </si>
  <si>
    <t>글꼴 통일</t>
    <phoneticPr fontId="2" type="noConversion"/>
  </si>
  <si>
    <t>바닥글 오류 수정</t>
    <phoneticPr fontId="2" type="noConversion"/>
  </si>
  <si>
    <t>측정값기입</t>
    <phoneticPr fontId="2" type="noConversion"/>
  </si>
  <si>
    <t>검사성적서 값 기입</t>
    <phoneticPr fontId="2" type="noConversion"/>
  </si>
  <si>
    <t>v3.3.1</t>
    <phoneticPr fontId="2" type="noConversion"/>
  </si>
  <si>
    <t>Check the robot leveling (Robot body), Check the robot leveling (Upper arm), Check the robot leveling (Lower arm)</t>
    <phoneticPr fontId="2" type="noConversion"/>
  </si>
  <si>
    <t>(Wafer, WLI, Mask)항목 세분화</t>
    <phoneticPr fontId="2" type="noConversion"/>
  </si>
  <si>
    <t># of AVIS Element : 6ea 추가</t>
    <phoneticPr fontId="2" type="noConversion"/>
  </si>
  <si>
    <t>[YMTC] FAT</t>
    <phoneticPr fontId="2" type="noConversion"/>
  </si>
  <si>
    <t>Check the Z Scanner Range</t>
    <phoneticPr fontId="2" type="noConversion"/>
  </si>
  <si>
    <t>On-site Sample Test</t>
    <phoneticPr fontId="2" type="noConversion"/>
  </si>
  <si>
    <t>pts/line</t>
    <phoneticPr fontId="2" type="noConversion"/>
  </si>
  <si>
    <t>mm/sec</t>
    <phoneticPr fontId="2" type="noConversion"/>
  </si>
  <si>
    <t>Hz</t>
    <phoneticPr fontId="2" type="noConversion"/>
  </si>
  <si>
    <t xml:space="preserve">Vertical Resolution Check </t>
    <phoneticPr fontId="2" type="noConversion"/>
  </si>
  <si>
    <t>AFP Static Repeatability Test (3σ, 30 Repeats)</t>
    <phoneticPr fontId="2" type="noConversion"/>
  </si>
  <si>
    <t>AFP Dynamic Repeatability Test (3σ, 30 Repeats)</t>
    <phoneticPr fontId="2" type="noConversion"/>
  </si>
  <si>
    <t>AFM Dynamic Repeatability Test (3σ, 30 Repeats)</t>
    <phoneticPr fontId="2" type="noConversion"/>
  </si>
  <si>
    <t>Measurement Location Test : By dynamic repeat 30 times using VLSI sample of which height is 180nm, and its variation range of start-point location should be less than 8um</t>
    <phoneticPr fontId="2" type="noConversion"/>
  </si>
  <si>
    <t>Variation range of start-point location (30 Repeats)</t>
    <phoneticPr fontId="2" type="noConversion"/>
  </si>
  <si>
    <t>Check Aligner changes angle reference according to software configuration</t>
    <phoneticPr fontId="2" type="noConversion"/>
  </si>
  <si>
    <t>0deg,90deg,180deg,270deg</t>
    <phoneticPr fontId="2" type="noConversion"/>
  </si>
  <si>
    <t>Check Aligner changes angle reference according to software configuration</t>
    <phoneticPr fontId="2" type="noConversion"/>
  </si>
  <si>
    <t>(Wafer, WLI)Check item 추가</t>
    <phoneticPr fontId="2" type="noConversion"/>
  </si>
  <si>
    <t>(Wafer, WLI,Mask)Criteria 수정</t>
    <phoneticPr fontId="2" type="noConversion"/>
  </si>
  <si>
    <t>항목추가</t>
    <phoneticPr fontId="2" type="noConversion"/>
  </si>
  <si>
    <t>1. Check the Z Scanner Range</t>
    <phoneticPr fontId="2" type="noConversion"/>
  </si>
  <si>
    <t xml:space="preserve">2. Check the Resolution of 1line </t>
    <phoneticPr fontId="2" type="noConversion"/>
  </si>
  <si>
    <t xml:space="preserve">3. Check the Profiling Speed </t>
    <phoneticPr fontId="2" type="noConversion"/>
  </si>
  <si>
    <t>4. Check the Profiling Length</t>
    <phoneticPr fontId="2" type="noConversion"/>
  </si>
  <si>
    <t>5. Check the Max Scan Speed</t>
    <phoneticPr fontId="2" type="noConversion"/>
  </si>
  <si>
    <t xml:space="preserve">6. Vertical Resolution Check </t>
    <phoneticPr fontId="2" type="noConversion"/>
  </si>
  <si>
    <t>7. AFP Static Repeatability Test (3σ, 30 Repeats)</t>
    <phoneticPr fontId="2" type="noConversion"/>
  </si>
  <si>
    <t>8. AFM Dynamic Repeatability Test (3σ, 30 Repeats)</t>
    <phoneticPr fontId="2" type="noConversion"/>
  </si>
  <si>
    <t>9. AFP Static Repeatability Test (3σ, 30 Repeats)</t>
    <phoneticPr fontId="2" type="noConversion"/>
  </si>
  <si>
    <t>10. AFP Dynamic Repeatability Test (3σ, 30 Repeats)</t>
    <phoneticPr fontId="2" type="noConversion"/>
  </si>
  <si>
    <t>11. Variation range of start-point location (30 Repeats)</t>
    <phoneticPr fontId="2" type="noConversion"/>
  </si>
  <si>
    <t>--총 11가지 추가--</t>
    <phoneticPr fontId="2" type="noConversion"/>
  </si>
  <si>
    <t>(선택)</t>
  </si>
  <si>
    <t>AFM Static Repeatability Test (3σ, 30 Repeats)</t>
    <phoneticPr fontId="2" type="noConversion"/>
  </si>
  <si>
    <t>Ground connection</t>
    <phoneticPr fontId="2" type="noConversion"/>
  </si>
  <si>
    <t>-</t>
    <phoneticPr fontId="2" type="noConversion"/>
  </si>
  <si>
    <t>Check the Resolution of 1line (Max Data Length in Profile mode)</t>
    <phoneticPr fontId="2" type="noConversion"/>
  </si>
  <si>
    <t>Check the Max Scan Speed (Max Scan speed in AFM mode)</t>
    <phoneticPr fontId="2" type="noConversion"/>
  </si>
  <si>
    <t>Check the Profiling Length (Max Profiling Length in Profile mode)</t>
    <phoneticPr fontId="2" type="noConversion"/>
  </si>
  <si>
    <t>Check the Profiling Speed (Max Speed in Profile mode)</t>
    <phoneticPr fontId="2" type="noConversion"/>
  </si>
  <si>
    <t>Z Drift (Short Traveling)</t>
    <phoneticPr fontId="2" type="noConversion"/>
  </si>
  <si>
    <t>Enabled</t>
  </si>
  <si>
    <t>Enabled</t>
    <phoneticPr fontId="2" type="noConversion"/>
  </si>
  <si>
    <t>XEService version</t>
    <phoneticPr fontId="2" type="noConversion"/>
  </si>
  <si>
    <t>XEI version</t>
    <phoneticPr fontId="2" type="noConversion"/>
  </si>
  <si>
    <t>XEPi version</t>
    <phoneticPr fontId="2" type="noConversion"/>
  </si>
  <si>
    <t>SmartAnalysis version</t>
    <phoneticPr fontId="2" type="noConversion"/>
  </si>
  <si>
    <t>Teached</t>
  </si>
  <si>
    <t>Teached</t>
    <phoneticPr fontId="2" type="noConversion"/>
  </si>
  <si>
    <t>No</t>
    <phoneticPr fontId="2" type="noConversion"/>
  </si>
  <si>
    <t>Z Detector offset</t>
    <phoneticPr fontId="2" type="noConversion"/>
  </si>
  <si>
    <t>AFM Head type</t>
    <phoneticPr fontId="2" type="noConversion"/>
  </si>
  <si>
    <t xml:space="preserve">A-B after Auto PSPD Alignment </t>
    <phoneticPr fontId="2" type="noConversion"/>
  </si>
  <si>
    <t>Check if the balls are attaching in each slot</t>
    <phoneticPr fontId="2" type="noConversion"/>
  </si>
  <si>
    <t>Check for CDA leakage</t>
    <phoneticPr fontId="2" type="noConversion"/>
  </si>
  <si>
    <t>Check teaching position of all slots</t>
    <phoneticPr fontId="2" type="noConversion"/>
  </si>
  <si>
    <t>Check Tip checker position</t>
    <phoneticPr fontId="2" type="noConversion"/>
  </si>
  <si>
    <t>Check Probe hand checker</t>
    <phoneticPr fontId="2" type="noConversion"/>
  </si>
  <si>
    <t>Check ethernet configuration for AFM Controller</t>
    <phoneticPr fontId="2" type="noConversion"/>
  </si>
  <si>
    <t>Check ethernet configuration for SlidingStage Controller</t>
    <phoneticPr fontId="2" type="noConversion"/>
  </si>
  <si>
    <t>Check ethernet configuration for on-axis camera</t>
    <phoneticPr fontId="2" type="noConversion"/>
  </si>
  <si>
    <t>RAID monitor software</t>
    <phoneticPr fontId="2" type="noConversion"/>
  </si>
  <si>
    <t>Anti-virus software</t>
    <phoneticPr fontId="2" type="noConversion"/>
  </si>
  <si>
    <t>OS(Operating System) type</t>
    <phoneticPr fontId="2" type="noConversion"/>
  </si>
  <si>
    <t>Check if there is marking for robot initial position</t>
    <phoneticPr fontId="2" type="noConversion"/>
  </si>
  <si>
    <t>Check the safety interlock</t>
    <phoneticPr fontId="2" type="noConversion"/>
  </si>
  <si>
    <t>Check the load port indicator lamp</t>
    <phoneticPr fontId="2" type="noConversion"/>
  </si>
  <si>
    <t>Check the slot mapping</t>
    <phoneticPr fontId="2" type="noConversion"/>
  </si>
  <si>
    <t>Check the cassette ID reader</t>
    <phoneticPr fontId="2" type="noConversion"/>
  </si>
  <si>
    <t>Check load and unload from all slot</t>
    <phoneticPr fontId="2" type="noConversion"/>
  </si>
  <si>
    <t>Check the light curtain detection</t>
    <phoneticPr fontId="2" type="noConversion"/>
  </si>
  <si>
    <t xml:space="preserve">Serial port number for the load port1 </t>
    <phoneticPr fontId="2" type="noConversion"/>
  </si>
  <si>
    <t xml:space="preserve">Serial port number for the load port2 </t>
    <phoneticPr fontId="2" type="noConversion"/>
  </si>
  <si>
    <t>EFEM CDA pressure</t>
    <phoneticPr fontId="2" type="noConversion"/>
  </si>
  <si>
    <t>EFEM vacuum pressure</t>
    <phoneticPr fontId="2" type="noConversion"/>
  </si>
  <si>
    <t>Check doubled wafer detection</t>
    <phoneticPr fontId="2" type="noConversion"/>
  </si>
  <si>
    <t>Check crossed wafer detection</t>
    <phoneticPr fontId="2" type="noConversion"/>
  </si>
  <si>
    <t>Check 500 cycle of wafer load and unload without error</t>
    <phoneticPr fontId="2" type="noConversion"/>
  </si>
  <si>
    <t>Check enable pre-load</t>
    <phoneticPr fontId="2" type="noConversion"/>
  </si>
  <si>
    <t>Check AE door sensor</t>
    <phoneticPr fontId="2" type="noConversion"/>
  </si>
  <si>
    <t>Check main Disconnect Switch On/Off function</t>
    <phoneticPr fontId="2" type="noConversion"/>
  </si>
  <si>
    <t>Check on and off of Ionizer</t>
    <phoneticPr fontId="2" type="noConversion"/>
  </si>
  <si>
    <t>Check on and off of Suction</t>
    <phoneticPr fontId="2" type="noConversion"/>
  </si>
  <si>
    <t>Check CCTV for EFEM and AFM</t>
    <phoneticPr fontId="2" type="noConversion"/>
  </si>
  <si>
    <t xml:space="preserve">Check vibration amplifier </t>
    <phoneticPr fontId="2" type="noConversion"/>
  </si>
  <si>
    <t>Check vibration sensors</t>
    <phoneticPr fontId="2" type="noConversion"/>
  </si>
  <si>
    <t>Check A-B interlock alarm</t>
    <phoneticPr fontId="2" type="noConversion"/>
  </si>
  <si>
    <t>Check A+B Interlock alarm</t>
    <phoneticPr fontId="2" type="noConversion"/>
  </si>
  <si>
    <t>Check sample sensing on the sample chuck by vacuum pressure</t>
    <phoneticPr fontId="2" type="noConversion"/>
  </si>
  <si>
    <t>Check A/E lamp on and off by door sensor</t>
    <phoneticPr fontId="2" type="noConversion"/>
  </si>
  <si>
    <t>Check AVIS controller power on and off</t>
    <phoneticPr fontId="2" type="noConversion"/>
  </si>
  <si>
    <t>Check signal tower for photo ionizer</t>
    <phoneticPr fontId="2" type="noConversion"/>
  </si>
  <si>
    <t>Check photo ionizer head toward to sample and AFM Head</t>
    <phoneticPr fontId="2" type="noConversion"/>
  </si>
  <si>
    <t>Check UPS capability for 5 minutes</t>
    <phoneticPr fontId="2" type="noConversion"/>
  </si>
  <si>
    <t xml:space="preserve">Check the focus stage reset </t>
    <phoneticPr fontId="2" type="noConversion"/>
  </si>
  <si>
    <t>H/W lower limit+500um</t>
    <phoneticPr fontId="2" type="noConversion"/>
  </si>
  <si>
    <t>OpticalAxisShiftPerFocusX repeatability (10repeats, 1σ)</t>
    <phoneticPr fontId="2" type="noConversion"/>
  </si>
  <si>
    <t>OpticalAxisShiftPerFocusY repeatability (10repeats, 1σ)</t>
    <phoneticPr fontId="2" type="noConversion"/>
  </si>
  <si>
    <t xml:space="preserve">Max OPM @25mm </t>
    <phoneticPr fontId="2" type="noConversion"/>
  </si>
  <si>
    <t>Max OPM @10mm</t>
    <phoneticPr fontId="2" type="noConversion"/>
  </si>
  <si>
    <t>Max OPM @5mm</t>
    <phoneticPr fontId="2" type="noConversion"/>
  </si>
  <si>
    <t>Max OPM @1mm</t>
    <phoneticPr fontId="2" type="noConversion"/>
  </si>
  <si>
    <t>OPM Repeatability @25mm</t>
    <phoneticPr fontId="2" type="noConversion"/>
  </si>
  <si>
    <t>OPM Repeatability @10mm</t>
    <phoneticPr fontId="2" type="noConversion"/>
  </si>
  <si>
    <t>OPM Repeatability @5mm</t>
    <phoneticPr fontId="2" type="noConversion"/>
  </si>
  <si>
    <t>OPM Repeatability @1mm</t>
    <phoneticPr fontId="2" type="noConversion"/>
  </si>
  <si>
    <t>No Z scanner saturation during measurement</t>
    <phoneticPr fontId="2" type="noConversion"/>
  </si>
  <si>
    <t>Profiler noise @200um</t>
    <phoneticPr fontId="2" type="noConversion"/>
  </si>
  <si>
    <t>Position repeatability(10repeats, Position Based)</t>
    <phoneticPr fontId="2" type="noConversion"/>
  </si>
  <si>
    <t xml:space="preserve">AFM FFU speed </t>
    <phoneticPr fontId="2" type="noConversion"/>
  </si>
  <si>
    <t>JAVA JRE version</t>
    <phoneticPr fontId="2" type="noConversion"/>
  </si>
  <si>
    <t>Tip position sample in XEA</t>
    <phoneticPr fontId="2" type="noConversion"/>
  </si>
  <si>
    <t>Head Mode in XEA</t>
    <phoneticPr fontId="2" type="noConversion"/>
  </si>
  <si>
    <t>Z scale in XEA</t>
    <phoneticPr fontId="2" type="noConversion"/>
  </si>
  <si>
    <t>Cantilever DB version</t>
    <phoneticPr fontId="2" type="noConversion"/>
  </si>
  <si>
    <t>Min. Vibration Transmissbility (~100Hz)</t>
    <phoneticPr fontId="2" type="noConversion"/>
  </si>
  <si>
    <t xml:space="preserve">Check the white balance </t>
    <phoneticPr fontId="2" type="noConversion"/>
  </si>
  <si>
    <t>Camera alignment</t>
    <phoneticPr fontId="2" type="noConversion"/>
  </si>
  <si>
    <t>X1 Detector calibration value (MicrometerPerAdc in XDetector DB)</t>
    <phoneticPr fontId="2" type="noConversion"/>
  </si>
  <si>
    <t>X2 Detector calibration value (AuxMicrometerPerAdc in XDetector DB)</t>
    <phoneticPr fontId="2" type="noConversion"/>
  </si>
  <si>
    <t>Y1 Detector calibration value (MicrometerPerAdc in YDetector DB)</t>
    <phoneticPr fontId="2" type="noConversion"/>
  </si>
  <si>
    <t>Y2 Detector calibration value (AuxMicrometerPerAdc in YDetector DB)</t>
    <phoneticPr fontId="2" type="noConversion"/>
  </si>
  <si>
    <t>X Non-linearity error</t>
    <phoneticPr fontId="2" type="noConversion"/>
  </si>
  <si>
    <t>Y Non-linearity error</t>
    <phoneticPr fontId="2" type="noConversion"/>
  </si>
  <si>
    <t>X Ringing(Rpv)</t>
    <phoneticPr fontId="2" type="noConversion"/>
  </si>
  <si>
    <t>Y Ringing(Rpv)</t>
    <phoneticPr fontId="2" type="noConversion"/>
  </si>
  <si>
    <t>Check XY stage reset</t>
    <phoneticPr fontId="2" type="noConversion"/>
  </si>
  <si>
    <t>Resonance Frequency in DB</t>
    <phoneticPr fontId="2" type="noConversion"/>
  </si>
  <si>
    <t>Save XY Stage setup file</t>
    <phoneticPr fontId="2" type="noConversion"/>
  </si>
  <si>
    <t>Check the circle align</t>
    <phoneticPr fontId="2" type="noConversion"/>
  </si>
  <si>
    <t>Maker of the motion control board(Maker in XY Stage DB)</t>
    <phoneticPr fontId="2" type="noConversion"/>
  </si>
  <si>
    <t>Check X axis encoder reader LED(Green: Good, Red: No Good)</t>
    <phoneticPr fontId="2" type="noConversion"/>
  </si>
  <si>
    <t>Check Y axis encoder reader LED(Green: Good, Red: No Good)</t>
    <phoneticPr fontId="2" type="noConversion"/>
  </si>
  <si>
    <t>Encoder Resolution</t>
    <phoneticPr fontId="2" type="noConversion"/>
  </si>
  <si>
    <t>Sample Loading Position to X</t>
    <phoneticPr fontId="2" type="noConversion"/>
  </si>
  <si>
    <t>Sample Loading Position to Y</t>
    <phoneticPr fontId="2" type="noConversion"/>
  </si>
  <si>
    <t>Plus direction move Drift, X move X Scan(XX) 700sec (-X to +X move, image offset</t>
    <phoneticPr fontId="2" type="noConversion"/>
  </si>
  <si>
    <t>Image offset after moving from -X to +X</t>
    <phoneticPr fontId="2" type="noConversion"/>
  </si>
  <si>
    <t>Image offset after moving from -Y to +Y</t>
    <phoneticPr fontId="2" type="noConversion"/>
  </si>
  <si>
    <t>Image offset after moving from -X to +Y</t>
    <phoneticPr fontId="2" type="noConversion"/>
  </si>
  <si>
    <t>Image offset after moving from -Y to +X</t>
    <phoneticPr fontId="2" type="noConversion"/>
  </si>
  <si>
    <t>Image offset after moving from +X to -X</t>
    <phoneticPr fontId="2" type="noConversion"/>
  </si>
  <si>
    <t>Image offset after moving from +Y to -Y</t>
    <phoneticPr fontId="2" type="noConversion"/>
  </si>
  <si>
    <t>Image offset after moving from +X to -Y</t>
    <phoneticPr fontId="2" type="noConversion"/>
  </si>
  <si>
    <t>Image offset after moving from +Y to -X</t>
    <phoneticPr fontId="2" type="noConversion"/>
  </si>
  <si>
    <t>Check the Z stage reset</t>
    <phoneticPr fontId="2" type="noConversion"/>
  </si>
  <si>
    <t>Power lamp color</t>
    <phoneticPr fontId="2" type="noConversion"/>
  </si>
  <si>
    <t>UPS Power lamp color</t>
    <phoneticPr fontId="2" type="noConversion"/>
  </si>
  <si>
    <t xml:space="preserve">Swtich box lamp color(Power On = Green, Power Off = White) </t>
    <phoneticPr fontId="2" type="noConversion"/>
  </si>
  <si>
    <t>OS / MS-office language</t>
    <phoneticPr fontId="2" type="noConversion"/>
  </si>
  <si>
    <t>kgf·cm</t>
    <phoneticPr fontId="2" type="noConversion"/>
  </si>
  <si>
    <t>Double Walled</t>
    <phoneticPr fontId="2" type="noConversion"/>
  </si>
  <si>
    <t>AE(Double Walled AE)</t>
    <phoneticPr fontId="2" type="noConversion"/>
  </si>
  <si>
    <r>
      <t xml:space="preserve">5.2.4 </t>
    </r>
    <r>
      <rPr>
        <sz val="10"/>
        <rFont val="맑은 고딕"/>
        <family val="3"/>
        <charset val="129"/>
      </rPr>
      <t>빌드버전</t>
    </r>
    <r>
      <rPr>
        <sz val="10"/>
        <rFont val="Arial"/>
        <family val="2"/>
      </rPr>
      <t xml:space="preserve">, YMTC </t>
    </r>
    <r>
      <rPr>
        <sz val="10"/>
        <rFont val="Arial Unicode MS"/>
        <family val="3"/>
        <charset val="129"/>
      </rPr>
      <t>제외</t>
    </r>
    <phoneticPr fontId="2" type="noConversion"/>
  </si>
  <si>
    <r>
      <t>X axis, Repeatability @</t>
    </r>
    <r>
      <rPr>
        <sz val="10"/>
        <rFont val="맑은 고딕"/>
        <family val="3"/>
        <charset val="129"/>
      </rPr>
      <t>1st position</t>
    </r>
    <phoneticPr fontId="2" type="noConversion"/>
  </si>
  <si>
    <r>
      <t xml:space="preserve">X axis, Repeatability @ </t>
    </r>
    <r>
      <rPr>
        <sz val="10"/>
        <rFont val="맑은 고딕"/>
        <family val="3"/>
        <charset val="129"/>
      </rPr>
      <t>2nd position</t>
    </r>
    <phoneticPr fontId="2" type="noConversion"/>
  </si>
  <si>
    <r>
      <t xml:space="preserve">X axis, Repeatability @ 3rd </t>
    </r>
    <r>
      <rPr>
        <sz val="10"/>
        <rFont val="맑은 고딕"/>
        <family val="3"/>
        <charset val="129"/>
      </rPr>
      <t>position</t>
    </r>
    <phoneticPr fontId="2" type="noConversion"/>
  </si>
  <si>
    <r>
      <t>X axis, Repeatability @ 4th</t>
    </r>
    <r>
      <rPr>
        <sz val="10"/>
        <rFont val="맑은 고딕"/>
        <family val="3"/>
        <charset val="129"/>
      </rPr>
      <t xml:space="preserve"> position</t>
    </r>
    <phoneticPr fontId="2" type="noConversion"/>
  </si>
  <si>
    <r>
      <t>X axis, Accuracy @</t>
    </r>
    <r>
      <rPr>
        <sz val="10"/>
        <rFont val="맑은 고딕"/>
        <family val="3"/>
        <charset val="129"/>
      </rPr>
      <t>1st position</t>
    </r>
    <phoneticPr fontId="2" type="noConversion"/>
  </si>
  <si>
    <r>
      <t>Y axis, Accuracy @</t>
    </r>
    <r>
      <rPr>
        <sz val="10"/>
        <rFont val="맑은 고딕"/>
        <family val="3"/>
        <charset val="129"/>
      </rPr>
      <t>1st position</t>
    </r>
    <phoneticPr fontId="2" type="noConversion"/>
  </si>
  <si>
    <r>
      <t xml:space="preserve">X axis, Accuracy @ </t>
    </r>
    <r>
      <rPr>
        <sz val="10"/>
        <rFont val="맑은 고딕"/>
        <family val="3"/>
        <charset val="129"/>
      </rPr>
      <t>2nd position</t>
    </r>
    <phoneticPr fontId="2" type="noConversion"/>
  </si>
  <si>
    <r>
      <t xml:space="preserve">Y axis, Accuracy @ </t>
    </r>
    <r>
      <rPr>
        <sz val="10"/>
        <rFont val="맑은 고딕"/>
        <family val="3"/>
        <charset val="129"/>
      </rPr>
      <t>2nd position</t>
    </r>
    <phoneticPr fontId="2" type="noConversion"/>
  </si>
  <si>
    <r>
      <t xml:space="preserve">X axis, Accuracy @ 3rd </t>
    </r>
    <r>
      <rPr>
        <sz val="10"/>
        <rFont val="맑은 고딕"/>
        <family val="3"/>
        <charset val="129"/>
      </rPr>
      <t>position</t>
    </r>
    <phoneticPr fontId="2" type="noConversion"/>
  </si>
  <si>
    <r>
      <t xml:space="preserve">Y axis, Accuracy @ 3rd </t>
    </r>
    <r>
      <rPr>
        <sz val="10"/>
        <rFont val="맑은 고딕"/>
        <family val="3"/>
        <charset val="129"/>
      </rPr>
      <t>position</t>
    </r>
    <phoneticPr fontId="2" type="noConversion"/>
  </si>
  <si>
    <r>
      <t>X axis, Accuracy @ 4th</t>
    </r>
    <r>
      <rPr>
        <sz val="10"/>
        <rFont val="맑은 고딕"/>
        <family val="3"/>
        <charset val="129"/>
      </rPr>
      <t xml:space="preserve"> position</t>
    </r>
    <phoneticPr fontId="2" type="noConversion"/>
  </si>
  <si>
    <r>
      <t>Y axis, Accuracy @ 4th</t>
    </r>
    <r>
      <rPr>
        <sz val="10"/>
        <rFont val="맑은 고딕"/>
        <family val="3"/>
        <charset val="129"/>
      </rPr>
      <t xml:space="preserve"> position</t>
    </r>
    <phoneticPr fontId="2" type="noConversion"/>
  </si>
  <si>
    <r>
      <t>Y axis, Repeatability @</t>
    </r>
    <r>
      <rPr>
        <sz val="10"/>
        <rFont val="맑은 고딕"/>
        <family val="3"/>
        <charset val="129"/>
      </rPr>
      <t>1st position</t>
    </r>
    <phoneticPr fontId="2" type="noConversion"/>
  </si>
  <si>
    <r>
      <t xml:space="preserve">Y axis, Repeatability @ </t>
    </r>
    <r>
      <rPr>
        <sz val="10"/>
        <rFont val="맑은 고딕"/>
        <family val="3"/>
        <charset val="129"/>
      </rPr>
      <t>2nd position</t>
    </r>
    <phoneticPr fontId="2" type="noConversion"/>
  </si>
  <si>
    <r>
      <t xml:space="preserve">Y axis, Repeatability @ 3rd </t>
    </r>
    <r>
      <rPr>
        <sz val="10"/>
        <rFont val="맑은 고딕"/>
        <family val="3"/>
        <charset val="129"/>
      </rPr>
      <t>position</t>
    </r>
    <phoneticPr fontId="2" type="noConversion"/>
  </si>
  <si>
    <r>
      <t>Y axis, Repeatability @ 4th</t>
    </r>
    <r>
      <rPr>
        <sz val="10"/>
        <rFont val="맑은 고딕"/>
        <family val="3"/>
        <charset val="129"/>
      </rPr>
      <t xml:space="preserve"> position</t>
    </r>
    <phoneticPr fontId="2" type="noConversion"/>
  </si>
  <si>
    <t>-</t>
    <phoneticPr fontId="2" type="noConversion"/>
  </si>
  <si>
    <t>Check if the magnet can move up and down using a software control</t>
    <phoneticPr fontId="2" type="noConversion"/>
  </si>
  <si>
    <t xml:space="preserve">Check sample holder </t>
    <phoneticPr fontId="2" type="noConversion"/>
  </si>
  <si>
    <t>Check sample surface mapping</t>
    <phoneticPr fontId="2" type="noConversion"/>
  </si>
  <si>
    <t>Check sample bias</t>
    <phoneticPr fontId="2" type="noConversion"/>
  </si>
  <si>
    <t>Wafer sample chuck type</t>
    <phoneticPr fontId="2" type="noConversion"/>
  </si>
  <si>
    <t>Wafer sample chuck material</t>
    <phoneticPr fontId="2" type="noConversion"/>
  </si>
  <si>
    <t>Check sliding stage reset</t>
    <phoneticPr fontId="2" type="noConversion"/>
  </si>
  <si>
    <t>Torque Profile (50mm, 200um/s)</t>
    <phoneticPr fontId="2" type="noConversion"/>
  </si>
  <si>
    <t>Save XY stage setup file</t>
    <phoneticPr fontId="2" type="noConversion"/>
  </si>
  <si>
    <t>Check Camera illumination function</t>
    <phoneticPr fontId="2" type="noConversion"/>
  </si>
  <si>
    <t>제원명판 제작 및 부착</t>
    <phoneticPr fontId="2" type="noConversion"/>
  </si>
  <si>
    <t>분리형</t>
    <phoneticPr fontId="2" type="noConversion"/>
  </si>
  <si>
    <t>일체형</t>
    <phoneticPr fontId="2" type="noConversion"/>
  </si>
  <si>
    <t>Z scanner Recipe사용, Sample spec Criteria에 기입, 측정 Sample spec 정확히 기입</t>
    <phoneticPr fontId="2" type="noConversion"/>
  </si>
  <si>
    <t>Loading 시 간섭여부 Check</t>
    <phoneticPr fontId="2" type="noConversion"/>
  </si>
  <si>
    <t>Brooks robot인경우 안될수 있음</t>
    <phoneticPr fontId="2" type="noConversion"/>
  </si>
  <si>
    <t>YMTC 경우, LoadPort 별 500 times(기본은 LoadPort 별 250times)</t>
    <phoneticPr fontId="2" type="noConversion"/>
  </si>
  <si>
    <t xml:space="preserve">측정위치 : EFEM 로봇 origin position의 end effector 윗면으로 부터 50cm 위 </t>
    <phoneticPr fontId="2" type="noConversion"/>
  </si>
  <si>
    <t>출하전, XEA에서 Test</t>
  </si>
  <si>
    <t>Dual loadport인 경우 2,4</t>
  </si>
  <si>
    <t>Dual loadport인 경우 2,4</t>
    <phoneticPr fontId="2" type="noConversion"/>
  </si>
  <si>
    <t>TDK loadport인 경우</t>
    <phoneticPr fontId="2" type="noConversion"/>
  </si>
  <si>
    <t>Yaskawa Robot인 경우</t>
    <phoneticPr fontId="2" type="noConversion"/>
  </si>
  <si>
    <t>Z stage 구동시, A-B값이 ±3V초과시 Alarm 발생확인</t>
    <phoneticPr fontId="2" type="noConversion"/>
  </si>
  <si>
    <t>DB : ApproachSetPointRatio = 0.6 작을때 interlock이 걸리는지</t>
    <phoneticPr fontId="2" type="noConversion"/>
  </si>
  <si>
    <t>Door sensor로 Lamp ON/OFF 확인</t>
    <phoneticPr fontId="2" type="noConversion"/>
  </si>
  <si>
    <t>사용색상 선택</t>
    <phoneticPr fontId="2" type="noConversion"/>
  </si>
  <si>
    <t>CIM에 Software 및 DB Backup</t>
    <phoneticPr fontId="2" type="noConversion"/>
  </si>
  <si>
    <t>고객 FAT 자료는 추가로 제작하여 제출</t>
    <phoneticPr fontId="2" type="noConversion"/>
  </si>
  <si>
    <t>기준없음</t>
    <phoneticPr fontId="2" type="noConversion"/>
  </si>
  <si>
    <t>Micron sample로 확인</t>
    <phoneticPr fontId="2" type="noConversion"/>
  </si>
  <si>
    <t>Aux Cable Number : 4, 예외 YMTC(s/w version5.2.0B40) : 2</t>
    <phoneticPr fontId="2" type="noConversion"/>
  </si>
  <si>
    <t>Reset 후 진행</t>
    <phoneticPr fontId="2" type="noConversion"/>
  </si>
  <si>
    <t>Horizontal line 측정 w/o fail</t>
    <phoneticPr fontId="2" type="noConversion"/>
  </si>
  <si>
    <t>Position Base기준</t>
    <phoneticPr fontId="2" type="noConversion"/>
  </si>
  <si>
    <t>5.2.4 빌드버전, YMTC 제외</t>
    <phoneticPr fontId="2" type="noConversion"/>
  </si>
  <si>
    <t>Tip-Sample Distance가 어느정도 떨어져 있는 상태에서 White Paper에 Focusing -Brightness 80/Contrast 0/Light strength 50 --&gt; White Balance를 여러 번 클릭해서 WB 맞추기(Vision 밝기가 변화 없을 때까지 -&gt; Gray Color)</t>
    <phoneticPr fontId="2" type="noConversion"/>
  </si>
  <si>
    <t>Recipe사용</t>
    <phoneticPr fontId="2" type="noConversion"/>
  </si>
  <si>
    <t>StrokeXMax와 StrokeYMin 기입하면 자동</t>
    <phoneticPr fontId="2" type="noConversion"/>
  </si>
  <si>
    <t>1day로 변경</t>
    <phoneticPr fontId="2" type="noConversion"/>
  </si>
  <si>
    <t>Bidding Spec Test, 30 Repeats에 대한 3sigma 값 입력</t>
    <phoneticPr fontId="2" type="noConversion"/>
  </si>
  <si>
    <t>v3.4.1</t>
    <phoneticPr fontId="2" type="noConversion"/>
  </si>
  <si>
    <t>오타 수정</t>
    <phoneticPr fontId="2" type="noConversion"/>
  </si>
  <si>
    <t>일체형 AE 명칭 수정</t>
    <phoneticPr fontId="2" type="noConversion"/>
  </si>
  <si>
    <t>사용 Power 선택</t>
    <phoneticPr fontId="2" type="noConversion"/>
  </si>
  <si>
    <t>Profile noise @200um spec 수정 : 0.2nm ⇒ 0.25nm</t>
    <phoneticPr fontId="2" type="noConversion"/>
  </si>
  <si>
    <t>측정값 변경</t>
    <phoneticPr fontId="2" type="noConversion"/>
  </si>
  <si>
    <t>OPM 측정값 변경 : Center 측정값으로 기입</t>
    <phoneticPr fontId="2" type="noConversion"/>
  </si>
  <si>
    <t>Performance로 변경</t>
    <phoneticPr fontId="2" type="noConversion"/>
  </si>
  <si>
    <r>
      <t>1. AFM, Static Repeatability w/ 180nm Step Height Sample (15 repeats, 3σ</t>
    </r>
    <r>
      <rPr>
        <sz val="10"/>
        <rFont val="맑은 고딕"/>
        <family val="2"/>
        <charset val="129"/>
      </rPr>
      <t>)</t>
    </r>
    <phoneticPr fontId="2" type="noConversion"/>
  </si>
  <si>
    <r>
      <t>2. AFM, Static Repeatability w/ 180nm Step Height Sample (15 repeats, RSD%</t>
    </r>
    <r>
      <rPr>
        <sz val="10"/>
        <rFont val="맑은 고딕"/>
        <family val="2"/>
        <charset val="129"/>
      </rPr>
      <t>)</t>
    </r>
    <phoneticPr fontId="2" type="noConversion"/>
  </si>
  <si>
    <r>
      <t>3. AFP, Static Repeatability w/ 180nm Step Height Sample (15 repeats, 3σ</t>
    </r>
    <r>
      <rPr>
        <sz val="10"/>
        <rFont val="맑은 고딕"/>
        <family val="2"/>
        <charset val="129"/>
      </rPr>
      <t>)</t>
    </r>
    <phoneticPr fontId="2" type="noConversion"/>
  </si>
  <si>
    <r>
      <t>4. AFP, Static Repeatability w/ 180nm Step Height Sample (15 repeats, RSD%</t>
    </r>
    <r>
      <rPr>
        <sz val="10"/>
        <rFont val="맑은 고딕"/>
        <family val="2"/>
        <charset val="129"/>
      </rPr>
      <t>)</t>
    </r>
    <phoneticPr fontId="2" type="noConversion"/>
  </si>
  <si>
    <r>
      <t>5. AFM, Dynamic Repeatability w/ 180nm Step Height Sample (15 repeats, 3σ</t>
    </r>
    <r>
      <rPr>
        <sz val="10"/>
        <rFont val="맑은 고딕"/>
        <family val="2"/>
        <charset val="129"/>
      </rPr>
      <t>)</t>
    </r>
    <phoneticPr fontId="2" type="noConversion"/>
  </si>
  <si>
    <r>
      <t>6. AFM, Dynamic Repeatability w/ 180nm Step Height Sample (15 repeats, RSD%</t>
    </r>
    <r>
      <rPr>
        <sz val="10"/>
        <rFont val="맑은 고딕"/>
        <family val="2"/>
        <charset val="129"/>
      </rPr>
      <t>)</t>
    </r>
    <phoneticPr fontId="2" type="noConversion"/>
  </si>
  <si>
    <r>
      <t>7. AFP, Dynamic Repeatability w/ 180nm Step Height Sample (15 repeats, 3σ</t>
    </r>
    <r>
      <rPr>
        <sz val="10"/>
        <rFont val="맑은 고딕"/>
        <family val="2"/>
        <charset val="129"/>
      </rPr>
      <t>)</t>
    </r>
    <phoneticPr fontId="2" type="noConversion"/>
  </si>
  <si>
    <r>
      <t>8. AFP, Dynamic  Repeatability w/ 180nm Step Height Sample (15 repeats, RSD%</t>
    </r>
    <r>
      <rPr>
        <sz val="10"/>
        <rFont val="맑은 고딕"/>
        <family val="2"/>
        <charset val="129"/>
      </rPr>
      <t>)</t>
    </r>
    <phoneticPr fontId="2" type="noConversion"/>
  </si>
  <si>
    <t>-- 위 8가지 항목에 대해 측정시간 변경 : 3days ⇒ 1day --</t>
    <phoneticPr fontId="2" type="noConversion"/>
  </si>
  <si>
    <t>측정 조건 변경</t>
    <phoneticPr fontId="2" type="noConversion"/>
  </si>
  <si>
    <t>Repeatability(Wafer, WLI) -&gt; Performance(Wafer, WLI)</t>
    <phoneticPr fontId="2" type="noConversion"/>
  </si>
  <si>
    <t>Check item 명 수정 : Check~시작되는 test에 대해서 기준 Yes로 변경 및 전체적인 Check item명 수정</t>
    <phoneticPr fontId="2" type="noConversion"/>
  </si>
  <si>
    <t xml:space="preserve">This is to certify the product listed below and associated components have been manufactured, 
assembled, and tested by Park Systems, in accordance with established manufacturing
procedures and ISO9001 and ISO14001 guidelines. </t>
    <phoneticPr fontId="2" type="noConversion"/>
  </si>
  <si>
    <t>Z Linearity by Z scanner position</t>
    <phoneticPr fontId="2" type="noConversion"/>
  </si>
  <si>
    <t>Test 추가</t>
    <phoneticPr fontId="2" type="noConversion"/>
  </si>
  <si>
    <t>Z Linearity by Z scanner position 추가</t>
    <phoneticPr fontId="2" type="noConversion"/>
  </si>
  <si>
    <r>
      <t>Short-term stability w/ 450nm Step Height Sample (3</t>
    </r>
    <r>
      <rPr>
        <sz val="10"/>
        <color theme="1"/>
        <rFont val="Calibri"/>
        <family val="3"/>
        <charset val="161"/>
      </rPr>
      <t>σ</t>
    </r>
    <r>
      <rPr>
        <sz val="10"/>
        <color theme="1"/>
        <rFont val="맑은 고딕"/>
        <family val="3"/>
        <charset val="129"/>
        <scheme val="minor"/>
      </rPr>
      <t>) &lt;1nm</t>
    </r>
    <phoneticPr fontId="2" type="noConversion"/>
  </si>
  <si>
    <t>#</t>
    <phoneticPr fontId="2" type="noConversion"/>
  </si>
  <si>
    <t>Image offset after moving from -X to +X (X scan)</t>
    <phoneticPr fontId="2" type="noConversion"/>
  </si>
  <si>
    <t>Image offset after moving from -Y to +Y (Y scan)</t>
    <phoneticPr fontId="2" type="noConversion"/>
  </si>
  <si>
    <t>Image offset after moving from -X to +X (Y scan)</t>
    <phoneticPr fontId="2" type="noConversion"/>
  </si>
  <si>
    <t>Image offset after moving from -Y to +Y (X scan)</t>
    <phoneticPr fontId="2" type="noConversion"/>
  </si>
  <si>
    <t>Image offset after moving from +X to -X (X scan)</t>
    <phoneticPr fontId="2" type="noConversion"/>
  </si>
  <si>
    <t>Image offset after moving from +Y to -Y (Y scan)</t>
    <phoneticPr fontId="2" type="noConversion"/>
  </si>
  <si>
    <t>Image offset after moving from +X to -X (Y scan)</t>
    <phoneticPr fontId="2" type="noConversion"/>
  </si>
  <si>
    <t>Image offset after moving from +Y to -Y (X scan)</t>
    <phoneticPr fontId="2" type="noConversion"/>
  </si>
  <si>
    <t xml:space="preserve">NX-Mask </t>
    <phoneticPr fontId="2" type="noConversion"/>
  </si>
  <si>
    <t>AFM Head(Standard/Long) (Wafer, WLI, Mask)</t>
    <phoneticPr fontId="2" type="noConversion"/>
  </si>
  <si>
    <t>전반적인 내용 수정</t>
    <phoneticPr fontId="2" type="noConversion"/>
  </si>
  <si>
    <t>Mask FAT 내용추가</t>
    <phoneticPr fontId="2" type="noConversion"/>
  </si>
  <si>
    <t xml:space="preserve">-- 위 항목에 대해 측정조건 변경 : 하루에 아침5번, 점심5번, 저녁5번씩 총 3일 측정(총 데이터 45개) </t>
    <phoneticPr fontId="2" type="noConversion"/>
  </si>
  <si>
    <r>
      <t>Short-term stability w/ 450nm Step Height Sample (</t>
    </r>
    <r>
      <rPr>
        <b/>
        <sz val="10"/>
        <rFont val="Arial"/>
        <family val="2"/>
      </rPr>
      <t>3σ</t>
    </r>
    <r>
      <rPr>
        <sz val="10"/>
        <rFont val="Arial"/>
        <family val="2"/>
      </rPr>
      <t>)</t>
    </r>
    <phoneticPr fontId="2" type="noConversion"/>
  </si>
  <si>
    <t>Test 변경</t>
    <phoneticPr fontId="2" type="noConversion"/>
  </si>
  <si>
    <t>Toque profile test 간소화(50mm의 고속/저속만 측정)</t>
    <phoneticPr fontId="2" type="noConversion"/>
  </si>
  <si>
    <t>Torque Profile (10mm, 200um/s)</t>
    <phoneticPr fontId="2" type="noConversion"/>
  </si>
  <si>
    <t>Torque Profile (10mm, 20um/s)</t>
    <phoneticPr fontId="2" type="noConversion"/>
  </si>
  <si>
    <t>v3.5.1</t>
    <phoneticPr fontId="2" type="noConversion"/>
  </si>
  <si>
    <t>수식오류 변경</t>
    <phoneticPr fontId="2" type="noConversion"/>
  </si>
  <si>
    <t>Pass/Fail 수식오류 변경</t>
    <phoneticPr fontId="2" type="noConversion"/>
  </si>
  <si>
    <t>XY Scanner(w/ SiC Anti-warpage)</t>
  </si>
  <si>
    <t>X,Y,X1,X2,Y1,Y2 Detector noise spec. 세분화 (anti warp/그 외)</t>
    <phoneticPr fontId="2" type="noConversion"/>
  </si>
  <si>
    <t>SlidingStage(Isolated AE)</t>
    <phoneticPr fontId="2" type="noConversion"/>
  </si>
  <si>
    <t>SlidingStage(Double Walled AE)</t>
    <phoneticPr fontId="2" type="noConversion"/>
  </si>
  <si>
    <t>X Scanner calibration value (MicrometerPerDacHigh in XScanner DB)</t>
    <phoneticPr fontId="2" type="noConversion"/>
  </si>
  <si>
    <t>Y Scanner calibration value (MicrometerPerDacHigh in YScanner DB)</t>
    <phoneticPr fontId="2" type="noConversion"/>
  </si>
  <si>
    <t>EFEM CDA pressure : 0.4~0.6 으로 spec 변경</t>
    <phoneticPr fontId="2" type="noConversion"/>
  </si>
  <si>
    <t>EFEM vacuum pressure : -90~-60 으로 spec 변경</t>
    <phoneticPr fontId="2" type="noConversion"/>
  </si>
  <si>
    <t>EFEM(Wafer, WLI, Mask)</t>
    <phoneticPr fontId="2" type="noConversion"/>
  </si>
  <si>
    <t>Anti warpage(X:0.5, Y:0.8, X1/X2:0.6, Y1/Y2:0.9)</t>
    <phoneticPr fontId="2" type="noConversion"/>
  </si>
  <si>
    <t>Anti-warpage 샘플척만</t>
    <phoneticPr fontId="2" type="noConversion"/>
  </si>
  <si>
    <t>-</t>
    <phoneticPr fontId="2" type="noConversion"/>
  </si>
  <si>
    <t>Check item명 및 Spec 수정</t>
    <phoneticPr fontId="2" type="noConversion"/>
  </si>
  <si>
    <t>값 기입으로 Spec 변경</t>
    <phoneticPr fontId="2" type="noConversion"/>
  </si>
  <si>
    <t>Angle offset value of pre-aligner</t>
    <phoneticPr fontId="2" type="noConversion"/>
  </si>
  <si>
    <t>Minimun adjustable angle of pre-aligner -&gt; Angle offset value of pre-aligner</t>
    <phoneticPr fontId="2" type="noConversion"/>
  </si>
  <si>
    <t>EFEM-Alinger 로딩 후 틀어진 각 조정하여 저장한 값 기입(XEA EFEM- Setup - Align Angle offset)</t>
    <phoneticPr fontId="2" type="noConversion"/>
  </si>
  <si>
    <t>AE Type에 따른 Max OPM spec 세분화</t>
    <phoneticPr fontId="2" type="noConversion"/>
  </si>
  <si>
    <t>일체형 : 250,100,50,18 / 분리형 : 200,80,40,13</t>
    <phoneticPr fontId="2" type="noConversion"/>
  </si>
  <si>
    <t>XY Scanner(w/ SiC Anti-warpage chuck)</t>
    <phoneticPr fontId="2" type="noConversion"/>
  </si>
  <si>
    <t>XY Scanner(w/ SiC Fork type chuck)</t>
    <phoneticPr fontId="2" type="noConversion"/>
  </si>
  <si>
    <t>XY Scanner(w/ SiC Bar type chuck)</t>
    <phoneticPr fontId="2" type="noConversion"/>
  </si>
  <si>
    <t>XY Scanner(w/ AL Bar type chuck)</t>
    <phoneticPr fontId="2" type="noConversion"/>
  </si>
  <si>
    <t>Computer</t>
  </si>
  <si>
    <t>SW</t>
  </si>
  <si>
    <t>Z Linearity by Z scanner position : 2% -&gt;1.5% spec 변경</t>
    <phoneticPr fontId="2" type="noConversion"/>
  </si>
  <si>
    <t xml:space="preserve">AFM Head(Standard/Long) / TSH </t>
    <phoneticPr fontId="2" type="noConversion"/>
  </si>
  <si>
    <t>Photoionizer Color</t>
    <phoneticPr fontId="2" type="noConversion"/>
  </si>
  <si>
    <t>v3.6.1</t>
    <phoneticPr fontId="2" type="noConversion"/>
  </si>
  <si>
    <t>Facility controller</t>
    <phoneticPr fontId="2" type="noConversion"/>
  </si>
  <si>
    <t>m/s</t>
    <phoneticPr fontId="2" type="noConversion"/>
  </si>
  <si>
    <t>단위 변경</t>
    <phoneticPr fontId="2" type="noConversion"/>
  </si>
  <si>
    <t xml:space="preserve">Air flow 단위 변경 mm/s -&gt; m/s </t>
    <phoneticPr fontId="2" type="noConversion"/>
  </si>
  <si>
    <t>Alarm tower color -&gt; Photoionizer Tower Color로 변경</t>
    <phoneticPr fontId="2" type="noConversion"/>
  </si>
  <si>
    <t>Photoionizer Tower Color</t>
    <phoneticPr fontId="2" type="noConversion"/>
  </si>
  <si>
    <t>AFM Head(long)</t>
    <phoneticPr fontId="2" type="noConversion"/>
  </si>
  <si>
    <t>Field of view Spec 수정 : min 800</t>
    <phoneticPr fontId="2" type="noConversion"/>
  </si>
  <si>
    <t>Full range in um during Z Scan sweep Spec 수정 : min 34 max 42um</t>
    <phoneticPr fontId="2" type="noConversion"/>
  </si>
  <si>
    <t>Signal Tower Color 추가 : RYGW</t>
    <phoneticPr fontId="2" type="noConversion"/>
  </si>
  <si>
    <t>Performance(mask)</t>
    <phoneticPr fontId="2" type="noConversion"/>
  </si>
  <si>
    <t>NX-HDM EFEM 시스템 추가</t>
    <phoneticPr fontId="2" type="noConversion"/>
  </si>
  <si>
    <t>System 추가</t>
    <phoneticPr fontId="2" type="noConversion"/>
  </si>
  <si>
    <t xml:space="preserve">Check item 삭제 </t>
    <phoneticPr fontId="2" type="noConversion"/>
  </si>
  <si>
    <t>(long head) Z Height noise 삭제</t>
    <phoneticPr fontId="2" type="noConversion"/>
  </si>
  <si>
    <t>Mask Roughness Repeatability 추가</t>
    <phoneticPr fontId="2" type="noConversion"/>
  </si>
  <si>
    <t>EFEM(Bluecord aligner)</t>
    <phoneticPr fontId="2" type="noConversion"/>
  </si>
  <si>
    <t>Pre-aligner 종류에 따른 spec 변경 : Centering accuracy of pre-aligner</t>
    <phoneticPr fontId="2" type="noConversion"/>
  </si>
  <si>
    <t>EFEM(Yaskawa aligner)</t>
    <phoneticPr fontId="2" type="noConversion"/>
  </si>
  <si>
    <t>Check clearance of robot and end effector against other module</t>
    <phoneticPr fontId="2" type="noConversion"/>
  </si>
  <si>
    <t>v3.7.1</t>
    <phoneticPr fontId="2" type="noConversion"/>
  </si>
  <si>
    <r>
      <t>Mask Roughness Repeatability (RSD%, 1</t>
    </r>
    <r>
      <rPr>
        <sz val="10"/>
        <color theme="1"/>
        <rFont val="Calibri"/>
        <family val="3"/>
        <charset val="161"/>
      </rPr>
      <t>σ</t>
    </r>
    <r>
      <rPr>
        <sz val="10"/>
        <color theme="1"/>
        <rFont val="맑은 고딕"/>
        <family val="3"/>
        <charset val="129"/>
        <scheme val="minor"/>
      </rPr>
      <t>) 로 세분화</t>
    </r>
    <phoneticPr fontId="2" type="noConversion"/>
  </si>
  <si>
    <t>Position Based Profiler DB setting : ExtTriggerAUXSource : 2--&gt;4 수정</t>
    <phoneticPr fontId="2" type="noConversion"/>
  </si>
  <si>
    <t>SmartAnalysis version : Basic -&gt; 1.2.1.0</t>
    <phoneticPr fontId="2" type="noConversion"/>
  </si>
  <si>
    <t>Z Drive(Long head), Z Height(standard head)</t>
    <phoneticPr fontId="2" type="noConversion"/>
  </si>
  <si>
    <t>System Noise(NX-Wafer 300mm)</t>
    <phoneticPr fontId="2" type="noConversion"/>
  </si>
  <si>
    <t>System Noise(NX-Wafer 200mm)</t>
    <phoneticPr fontId="2" type="noConversion"/>
  </si>
  <si>
    <t>Check item 세분화 변경, NX-Wafer300mm (Sliding stage X) Zeroscan 0.07nm로 변경</t>
    <phoneticPr fontId="2" type="noConversion"/>
  </si>
  <si>
    <t>System Noise(Mask)</t>
    <phoneticPr fontId="2" type="noConversion"/>
  </si>
  <si>
    <t>Zeroscan spec변경 0.12 --&gt;0.1nm (Rq)</t>
    <phoneticPr fontId="2" type="noConversion"/>
  </si>
  <si>
    <t xml:space="preserve">Level to X axis on the robot body  </t>
  </si>
  <si>
    <t xml:space="preserve">Level to X axis on the robot body  </t>
    <phoneticPr fontId="2" type="noConversion"/>
  </si>
  <si>
    <t xml:space="preserve">Level to Y axis on the robot body  </t>
  </si>
  <si>
    <t xml:space="preserve">Level to Y axis on the robot body  </t>
    <phoneticPr fontId="2" type="noConversion"/>
  </si>
  <si>
    <t>Level to X axis on the robot upper arm</t>
  </si>
  <si>
    <t>Level to X axis on the robot upper arm</t>
    <phoneticPr fontId="2" type="noConversion"/>
  </si>
  <si>
    <t>Level to Y axis on the robot upper arm</t>
  </si>
  <si>
    <t>Level to Y axis on the robot upper arm</t>
    <phoneticPr fontId="2" type="noConversion"/>
  </si>
  <si>
    <t>Level to X axis on the robot lower arm</t>
  </si>
  <si>
    <t>Level to X axis on the robot lower arm</t>
    <phoneticPr fontId="2" type="noConversion"/>
  </si>
  <si>
    <t>Level to Y axis on the robot lower arm</t>
  </si>
  <si>
    <t>Level to Y axis on the robot lower arm</t>
    <phoneticPr fontId="2" type="noConversion"/>
  </si>
  <si>
    <t>FullRecoveryProfileLength 세분화</t>
    <phoneticPr fontId="2" type="noConversion"/>
  </si>
  <si>
    <t>10mm경우 spec 10, 25mm/50mm인 경우 spec 50</t>
    <phoneticPr fontId="2" type="noConversion"/>
  </si>
  <si>
    <t>Z Detector max/min spec 수정 (0.3 -&gt; 0.2)</t>
    <phoneticPr fontId="2" type="noConversion"/>
  </si>
  <si>
    <t>WLI Turret Stage</t>
  </si>
  <si>
    <t>Limit range spec 수정(41000-&gt;-41000)</t>
    <phoneticPr fontId="2" type="noConversion"/>
  </si>
  <si>
    <t>WLI SW</t>
  </si>
  <si>
    <t>XIMEA API Software install PKG spec표기 수정 (4.23.03)</t>
    <phoneticPr fontId="2" type="noConversion"/>
  </si>
  <si>
    <t xml:space="preserve">Spec 표기 수정 </t>
    <phoneticPr fontId="2" type="noConversion"/>
  </si>
  <si>
    <t>WLI Misc</t>
  </si>
  <si>
    <t>TestBench version spec 수정(4.1.0 -&gt; 4.0.28)</t>
    <phoneticPr fontId="2" type="noConversion"/>
  </si>
  <si>
    <t xml:space="preserve">Vision상에 보여지는 Chip carrier의 상단 축과(비전 상단끝에 걸치도록 조정) 비전 상단 끝부분 영역이 Rotate 없이 수평으로 맞추어져 있는지 Check, 필요시 Camera Angle을 조정 </t>
    <phoneticPr fontId="2" type="noConversion"/>
  </si>
  <si>
    <t>오타수정</t>
    <phoneticPr fontId="2" type="noConversion"/>
  </si>
  <si>
    <t xml:space="preserve">Check if the lock stage holds the mask </t>
    <phoneticPr fontId="2" type="noConversion"/>
  </si>
  <si>
    <t>Sample Chuck (Mask)</t>
    <phoneticPr fontId="2" type="noConversion"/>
  </si>
  <si>
    <t>Ground connection</t>
  </si>
  <si>
    <t>Position Based Profiler DB setting : ExtTriggerAUXSource 6으로 오류 기입 -&gt; 4로 수정</t>
    <phoneticPr fontId="2" type="noConversion"/>
  </si>
  <si>
    <t>Check the all EMO switches function test</t>
  </si>
  <si>
    <t xml:space="preserve">Facility Controller </t>
    <phoneticPr fontId="2" type="noConversion"/>
  </si>
  <si>
    <t>XY Stage(Mask)</t>
    <phoneticPr fontId="2" type="noConversion"/>
  </si>
  <si>
    <t>Aligned stage accuracy : X offset, Y offset max 1um</t>
    <phoneticPr fontId="2" type="noConversion"/>
  </si>
  <si>
    <t>Scan offset accuracy (Precision) : SPEC max precision 5um</t>
    <phoneticPr fontId="2" type="noConversion"/>
  </si>
  <si>
    <t>Camera alignment spec표기 수정 : Degree -&gt; um</t>
    <phoneticPr fontId="2" type="noConversion"/>
  </si>
  <si>
    <t>AFP Repeatability 프로그램을 이용해 분석하여 OPM Max 기입 (분리형은 Total Max 값 기입)</t>
    <phoneticPr fontId="2" type="noConversion"/>
  </si>
  <si>
    <t>AFP Repeatability 프로그램을 이용해 분석하여 OPM Max 기입 (일체형은 Center값 기입)</t>
    <phoneticPr fontId="2" type="noConversion"/>
  </si>
  <si>
    <t>v3.7.2</t>
    <phoneticPr fontId="2" type="noConversion"/>
  </si>
  <si>
    <t>OPM Repeatability 기입값 분리형, 일체형 세분화</t>
    <phoneticPr fontId="2" type="noConversion"/>
  </si>
  <si>
    <t>Firmware version of Yaskawa robot</t>
    <phoneticPr fontId="2" type="noConversion"/>
  </si>
  <si>
    <t>1.0.3</t>
    <phoneticPr fontId="2" type="noConversion"/>
  </si>
  <si>
    <t>Yaskawa Robot인 경우, 티칭팬던트에서 확인</t>
    <phoneticPr fontId="2" type="noConversion"/>
  </si>
  <si>
    <t>MS-office product key</t>
    <phoneticPr fontId="2" type="noConversion"/>
  </si>
  <si>
    <t>v3.8.2</t>
    <phoneticPr fontId="2" type="noConversion"/>
  </si>
  <si>
    <t>X Detector calibration value (MicrometerPerAdc in XDetector DB)</t>
    <phoneticPr fontId="2" type="noConversion"/>
  </si>
  <si>
    <t>Y Detector calibration value (MicrometerPerAdc in YDetector DB)</t>
  </si>
  <si>
    <t>Full range of X detector raw 로 변경</t>
    <phoneticPr fontId="2" type="noConversion"/>
  </si>
  <si>
    <t>Full range of Y detector raw 로 변경</t>
    <phoneticPr fontId="2" type="noConversion"/>
  </si>
  <si>
    <t>FPS(FramePerSecond) of large view</t>
    <phoneticPr fontId="2" type="noConversion"/>
  </si>
  <si>
    <t>Large view 일때의 FPS 기입</t>
    <phoneticPr fontId="2" type="noConversion"/>
  </si>
  <si>
    <t xml:space="preserve">FPS(FramePerSecond) -&gt; FPS(FramePerSecond) of large view </t>
    <phoneticPr fontId="2" type="noConversion"/>
  </si>
  <si>
    <t>%GRR w/ roughness of Precision/Tolerance (P/T) Repeatability</t>
    <phoneticPr fontId="2" type="noConversion"/>
  </si>
  <si>
    <t>%GRR w/ roughness of Precision/Tolerance (P/T) Reproducibility</t>
  </si>
  <si>
    <t>Full range in voltage during Z Scan sweep : 11V~15V -&gt; 10V~18V 로 변경</t>
    <phoneticPr fontId="2" type="noConversion"/>
  </si>
  <si>
    <t>Cabinet version</t>
    <phoneticPr fontId="2" type="noConversion"/>
  </si>
  <si>
    <t>Facility Controller</t>
  </si>
  <si>
    <t>Cabinet version 기입 추가</t>
    <phoneticPr fontId="2" type="noConversion"/>
  </si>
  <si>
    <t>Facility Controller(T3)</t>
    <phoneticPr fontId="2" type="noConversion"/>
  </si>
  <si>
    <t>NX-HDM 시스템 추가</t>
    <phoneticPr fontId="2" type="noConversion"/>
  </si>
  <si>
    <t>XY Stage 상판/하판 사이의 encoder 육안으로 확인(품명적혀있음)</t>
    <phoneticPr fontId="2" type="noConversion"/>
  </si>
  <si>
    <t>Encoder 품명 육안 확인후 검색하여 Resolution 확인</t>
    <phoneticPr fontId="2" type="noConversion"/>
  </si>
  <si>
    <t>TSH(50um, 100um)</t>
    <phoneticPr fontId="2" type="noConversion"/>
  </si>
  <si>
    <t>v3.9.2</t>
    <phoneticPr fontId="2" type="noConversion"/>
  </si>
  <si>
    <t>Sample Chuck(Sample holder)</t>
    <phoneticPr fontId="2" type="noConversion"/>
  </si>
  <si>
    <t>Full range in um during Z Scan sweep Spec 수정 : min 39 max 46um</t>
    <phoneticPr fontId="2" type="noConversion"/>
  </si>
  <si>
    <t>Firmware verision 추가</t>
    <phoneticPr fontId="2" type="noConversion"/>
  </si>
  <si>
    <t xml:space="preserve">Check item 수정 </t>
    <phoneticPr fontId="2" type="noConversion"/>
  </si>
  <si>
    <t>XY Stage : Serial Port #, BaudRate 삭제</t>
    <phoneticPr fontId="2" type="noConversion"/>
  </si>
  <si>
    <t xml:space="preserve">NX-HDM </t>
    <phoneticPr fontId="2" type="noConversion"/>
  </si>
  <si>
    <t>Facility Controller : Ionizer 세분화</t>
    <phoneticPr fontId="2" type="noConversion"/>
  </si>
  <si>
    <t xml:space="preserve">Facility Controller : Serial Port # 1로 변경 </t>
    <phoneticPr fontId="2" type="noConversion"/>
  </si>
  <si>
    <t>Sample chuck : Sample holder 세분화</t>
    <phoneticPr fontId="2" type="noConversion"/>
  </si>
  <si>
    <t>EFEM(Logosol aligner)</t>
    <phoneticPr fontId="2" type="noConversion"/>
  </si>
  <si>
    <t>EFEM(NX-Wafer)</t>
    <phoneticPr fontId="2" type="noConversion"/>
  </si>
  <si>
    <t>Logosol 수정</t>
    <phoneticPr fontId="2" type="noConversion"/>
  </si>
  <si>
    <t>Allowable max warpage, w/ SiC Anti-warpage sample chuck (Crying type)</t>
    <phoneticPr fontId="2" type="noConversion"/>
  </si>
  <si>
    <t>Allowable max warpage, w/ SiC Anti-warpage sample chuck (Smile type)</t>
    <phoneticPr fontId="2" type="noConversion"/>
  </si>
  <si>
    <t>Allowable max warpage, w/ SiC Anti-warpage sample chuck Smile type/Crying type 세분화 스펙 지정</t>
    <phoneticPr fontId="2" type="noConversion"/>
  </si>
  <si>
    <t>Z Linearity by 4 different sample height</t>
    <phoneticPr fontId="2" type="noConversion"/>
  </si>
  <si>
    <t>AFM Head/TSH</t>
    <phoneticPr fontId="2" type="noConversion"/>
  </si>
  <si>
    <t>Z Linearity by 5 different sample height : 300mm 인경우</t>
    <phoneticPr fontId="2" type="noConversion"/>
  </si>
  <si>
    <t>AFM Head(NX-Wafer300mm)</t>
    <phoneticPr fontId="2" type="noConversion"/>
  </si>
  <si>
    <t>AFM Head(NX-Wafer200mm)</t>
    <phoneticPr fontId="2" type="noConversion"/>
  </si>
  <si>
    <t>System Noise(NX-Wafer 300mm, W/ Sliding Stage)</t>
    <phoneticPr fontId="2" type="noConversion"/>
  </si>
  <si>
    <t>System Noise(NX-Wafer 200mm, W/ Sliding Stage)</t>
    <phoneticPr fontId="2" type="noConversion"/>
  </si>
  <si>
    <t>1Port 1Slot -300um, ATX 없는 경우 Samplechuck approach position -500um</t>
    <phoneticPr fontId="2" type="noConversion"/>
  </si>
  <si>
    <t>Check the full stroke image(servo on)</t>
    <phoneticPr fontId="2" type="noConversion"/>
  </si>
  <si>
    <t>scan size : 100x100um, overscan : 0%, 이미지 측정하여 왜곡 확인 (orthogonality 측정시랑 같은 조건으로 scan size 및 overscan 만 변경)</t>
    <phoneticPr fontId="2" type="noConversion"/>
  </si>
  <si>
    <t>v3.10.2</t>
    <phoneticPr fontId="2" type="noConversion"/>
  </si>
  <si>
    <t>Check item 추가</t>
  </si>
  <si>
    <t>Check the full stroke image(servo on) 추가</t>
    <phoneticPr fontId="2" type="noConversion"/>
  </si>
  <si>
    <t xml:space="preserve">Z Linearity by 4 different sample height : 200mm/150mm 인경우 </t>
    <phoneticPr fontId="2" type="noConversion"/>
  </si>
  <si>
    <t>양식 변경</t>
  </si>
  <si>
    <t>System 추가</t>
  </si>
  <si>
    <t>SmartAnalysis verision 수정 : 1.2.1.0 -&gt; 1.4.3.1480 (최신 RTM)</t>
    <phoneticPr fontId="2" type="noConversion"/>
  </si>
  <si>
    <t>Check the VLSI sample serial number (Box, Certification, Sample)</t>
    <phoneticPr fontId="2" type="noConversion"/>
  </si>
  <si>
    <t>Misc(VLSI)</t>
  </si>
  <si>
    <t>Misc(VLSI)</t>
    <phoneticPr fontId="2" type="noConversion"/>
  </si>
  <si>
    <t>-</t>
    <phoneticPr fontId="2" type="noConversion"/>
  </si>
  <si>
    <t>VLSI샘플이 여러 개인 경우 항목 추가, 고객에게 나가는 샘플(VLSI)에 대한 모델넘버/시리얼넘버 확인하여 measurement에 기입 및 사진으로 남겨 서버에 저장(box, certifiation, sample)</t>
    <phoneticPr fontId="2" type="noConversion"/>
  </si>
  <si>
    <t>Check the VLSI sample model number (Box, Certification, Sample)</t>
    <phoneticPr fontId="2" type="noConversion"/>
  </si>
  <si>
    <t>NX-PSS 시스템 추가(AFM1+EFEM, AFM2)</t>
    <phoneticPr fontId="2" type="noConversion"/>
  </si>
  <si>
    <t>최신 RTM 버전 사용</t>
    <phoneticPr fontId="2" type="noConversion"/>
  </si>
  <si>
    <t>Full range in um during X1/X2/Y1/Y2 Scan sweep</t>
    <phoneticPr fontId="2" type="noConversion"/>
  </si>
  <si>
    <t xml:space="preserve">Tip Characterizer DB setting : TipCharacterizerSupport </t>
    <phoneticPr fontId="2" type="noConversion"/>
  </si>
  <si>
    <t>Tip Characterizer sample width</t>
    <phoneticPr fontId="2" type="noConversion"/>
  </si>
  <si>
    <t>Tip Characterizer auto focus teach / XEA</t>
    <phoneticPr fontId="2" type="noConversion"/>
  </si>
  <si>
    <t>Tip Characterizer stage position teach / XEA</t>
    <phoneticPr fontId="2" type="noConversion"/>
  </si>
  <si>
    <t>v3.11.2</t>
    <phoneticPr fontId="2" type="noConversion"/>
  </si>
  <si>
    <t>Tip Characterizer stage position teach / XEA</t>
  </si>
  <si>
    <t xml:space="preserve">Tip Characterizer DB setting : TipCharacterizerSupport </t>
  </si>
  <si>
    <t>Tip Characterizer auto focus teach / XEA</t>
  </si>
  <si>
    <t>Activate Thermal tune option in XEA</t>
  </si>
  <si>
    <t>Activate Thermal tune option in XEA</t>
    <phoneticPr fontId="2" type="noConversion"/>
  </si>
  <si>
    <t>Activated</t>
    <phoneticPr fontId="2" type="noConversion"/>
  </si>
  <si>
    <t>Resonance frequency of AC160 by thermal tune</t>
  </si>
  <si>
    <t>Resonance frequency of AC160 by thermal tune</t>
    <phoneticPr fontId="2" type="noConversion"/>
  </si>
  <si>
    <t>kHz</t>
    <phoneticPr fontId="2" type="noConversion"/>
  </si>
  <si>
    <t>평균값 기입, Sliding Stage Recipe 사용, Sample : Bare wafer, Pixel : 8,192pxl</t>
    <phoneticPr fontId="2" type="noConversion"/>
  </si>
  <si>
    <t xml:space="preserve">* 1800nm Step Height Sample (10 Repeats) </t>
    <phoneticPr fontId="2" type="noConversion"/>
  </si>
  <si>
    <t>Z Linearity by 5 different sample height / *1800nm Step Height Sample (10 Repeats)  test는 측정값만 기입, linearity값에 포함X</t>
    <phoneticPr fontId="2" type="noConversion"/>
  </si>
  <si>
    <t>AFM Head(NX-Wafer300/200mm)</t>
    <phoneticPr fontId="2" type="noConversion"/>
  </si>
  <si>
    <t>Check item 변경</t>
    <phoneticPr fontId="2" type="noConversion"/>
  </si>
  <si>
    <t xml:space="preserve">4 different Step Height Sample </t>
    <phoneticPr fontId="2" type="noConversion"/>
  </si>
  <si>
    <t>LightSource(LED) Color</t>
    <phoneticPr fontId="2" type="noConversion"/>
  </si>
  <si>
    <t>Check LightSource ON</t>
    <phoneticPr fontId="2" type="noConversion"/>
  </si>
  <si>
    <t xml:space="preserve">Check item 단위 수정 </t>
    <phoneticPr fontId="2" type="noConversion"/>
  </si>
  <si>
    <t>단위 제거</t>
    <phoneticPr fontId="2" type="noConversion"/>
  </si>
  <si>
    <t>Check LightSource ON/LightSource(LED) Color 오타 수정</t>
    <phoneticPr fontId="2" type="noConversion"/>
  </si>
  <si>
    <t>Resonance frequency of AC240 by thermal tune</t>
    <phoneticPr fontId="2" type="noConversion"/>
  </si>
  <si>
    <t>측정값 기입만 인쇄시 숨김처리, Z scanner Recipe사용, Sample spec Criteria에 기입, 측정 Sample spec 정확히 기입</t>
    <phoneticPr fontId="2" type="noConversion"/>
  </si>
  <si>
    <t>EMO Alarm 이미지 저장, PB인 경우 Warning창 + EMO 눌린 위치 표기 되야함</t>
    <phoneticPr fontId="2" type="noConversion"/>
  </si>
  <si>
    <t>servo off</t>
    <phoneticPr fontId="2" type="noConversion"/>
  </si>
  <si>
    <t>Check item spec 변경</t>
    <phoneticPr fontId="2" type="noConversion"/>
  </si>
  <si>
    <t xml:space="preserve">Cantilever DB Version : 1.0 -&gt; 1.1 </t>
    <phoneticPr fontId="2" type="noConversion"/>
  </si>
  <si>
    <t>Full range in um during X2 Scan sweep (XY Servo off)</t>
  </si>
  <si>
    <t>Full range in um during Y1 Scan sweep (XY Servo off)</t>
  </si>
  <si>
    <t>Full range in um during Y2 Scan sweep (XY Servo off)</t>
  </si>
  <si>
    <t>XY Scanner,TSH 50/100um</t>
    <phoneticPr fontId="2" type="noConversion"/>
  </si>
  <si>
    <r>
      <t>Full range in um during X1 Scan sweep</t>
    </r>
    <r>
      <rPr>
        <sz val="10"/>
        <rFont val="맑은 고딕"/>
        <family val="3"/>
        <charset val="129"/>
        <scheme val="minor"/>
      </rPr>
      <t xml:space="preserve"> (XY Servo off)</t>
    </r>
    <phoneticPr fontId="2" type="noConversion"/>
  </si>
  <si>
    <t>아래 8가지에 대해 XY Servo off 명칭 추가</t>
    <phoneticPr fontId="2" type="noConversion"/>
  </si>
  <si>
    <t>Resonance frequency of AC240 by thermal tune</t>
  </si>
  <si>
    <t>Resonance frequency of AC160 by frequency sweep</t>
  </si>
  <si>
    <t>Resonance frequency of AC160 by frequency sweep</t>
    <phoneticPr fontId="2" type="noConversion"/>
  </si>
  <si>
    <t>Resonance frequency of AC240 by  frequency sweep</t>
  </si>
  <si>
    <t>Lift pins synchronization offset check (X offset)</t>
    <phoneticPr fontId="2" type="noConversion"/>
  </si>
  <si>
    <t>Lift pins synchronization offset check (Y offset)</t>
    <phoneticPr fontId="2" type="noConversion"/>
  </si>
  <si>
    <t>Check lift pins synchronization -&gt; Lift pins synchronization offset check (spec. ~50um) : X/Y offset</t>
    <phoneticPr fontId="2" type="noConversion"/>
  </si>
  <si>
    <t>Lift pin 튜닝 후, up/down 5회 반복하여 offset 확인 guide 참고</t>
    <phoneticPr fontId="2" type="noConversion"/>
  </si>
  <si>
    <t>WLI_Scale -&gt; WLI_Scale(Z Calibration)</t>
    <phoneticPr fontId="2" type="noConversion"/>
  </si>
  <si>
    <t>Check if the largest difference in PZT Alignment is less than 50um</t>
    <phoneticPr fontId="2" type="noConversion"/>
  </si>
  <si>
    <t>Head검사 성적서의 Z Scanner body &amp; PZT Alignment 의 A/B, C/D, E/F, G/H의 차이가 50um이하인지 확인</t>
    <phoneticPr fontId="2" type="noConversion"/>
  </si>
  <si>
    <t>Full range in voltage during Y2 Scan sweep (XY Servo off)</t>
    <phoneticPr fontId="2" type="noConversion"/>
  </si>
  <si>
    <t>Full range in voltage during X1 Scan sweep (XY Servo off)</t>
    <phoneticPr fontId="2" type="noConversion"/>
  </si>
  <si>
    <t>Full range in voltage during X2 Scan sweep (XY Servo off)</t>
    <phoneticPr fontId="2" type="noConversion"/>
  </si>
  <si>
    <t>Full range in voltage during Y1 Scan sweep (XY Servo off)</t>
    <phoneticPr fontId="2" type="noConversion"/>
  </si>
  <si>
    <t>20번 진행후  Position error 확인 (Max offset 기입), guide 참고</t>
    <phoneticPr fontId="2" type="noConversion"/>
  </si>
  <si>
    <t>Wafer placement(Loading) error on the load port1 (X offset)</t>
  </si>
  <si>
    <t>Wafer placement(Loading) error on the load port1 (X offset)</t>
    <phoneticPr fontId="2" type="noConversion"/>
  </si>
  <si>
    <t>Wafer placement(Loading) error on the load port2 (X offset)</t>
  </si>
  <si>
    <t>Wafer placement(Loading) error on the load port2 (X offset)</t>
    <phoneticPr fontId="2" type="noConversion"/>
  </si>
  <si>
    <t>Wafer placement(Loading) error on the load port1 (Y offset)</t>
    <phoneticPr fontId="2" type="noConversion"/>
  </si>
  <si>
    <t>Wafer placement(Loading) error on the load port2 (Y offset)</t>
    <phoneticPr fontId="2" type="noConversion"/>
  </si>
  <si>
    <t>20번 진행후  Position error 확인 (Max offset 기입), guide 참고, loadport2 없을시 삭제</t>
    <phoneticPr fontId="2" type="noConversion"/>
  </si>
  <si>
    <t>Tip Characterizer Sample</t>
    <phoneticPr fontId="2" type="noConversion"/>
  </si>
  <si>
    <t>: check module 추가</t>
    <phoneticPr fontId="2" type="noConversion"/>
  </si>
  <si>
    <t>Guide 참고</t>
    <phoneticPr fontId="2" type="noConversion"/>
  </si>
  <si>
    <t>사용색상 선택, 순서상관 없음</t>
    <phoneticPr fontId="2" type="noConversion"/>
  </si>
  <si>
    <t>Park systems - XEI - Bin - xei.vmoptions</t>
    <phoneticPr fontId="2" type="noConversion"/>
  </si>
  <si>
    <t>XY Scanner</t>
  </si>
  <si>
    <t xml:space="preserve">ioss인 경우 : 120 , cognex인 경우 : 198 </t>
    <phoneticPr fontId="2" type="noConversion"/>
  </si>
  <si>
    <t>Guide참고, xea.vmoption 활성화 및 XEA setup에서 use설정</t>
    <phoneticPr fontId="2" type="noConversion"/>
  </si>
  <si>
    <t>Guide참고, Reference tip을 사용해서 thermal tune과 NCM Sweep capture 저장, Thermal Tune 측정 Data 분석시트에 excel 화 필요(noise 분석용)</t>
    <phoneticPr fontId="2" type="noConversion"/>
  </si>
  <si>
    <t>Encoder model : RGH24H30D30A -&gt; RGH24H (Cable 길이 정보 삭제)</t>
    <phoneticPr fontId="2" type="noConversion"/>
  </si>
  <si>
    <t>아래 측정(AFM,AFP Repeatability) 에 사용하는 Sample(180nm) spec 기입 ex)183.8 ± 2.0nm</t>
    <phoneticPr fontId="2" type="noConversion"/>
  </si>
  <si>
    <t>Lift Pin</t>
    <phoneticPr fontId="2" type="noConversion"/>
  </si>
  <si>
    <t>Sample Chuck(w/ Sliding stage)</t>
    <phoneticPr fontId="2" type="noConversion"/>
  </si>
  <si>
    <t>Customer</t>
    <phoneticPr fontId="2" type="noConversion"/>
  </si>
  <si>
    <t>[YMTC]FAT -&gt; Customer로 변경</t>
    <phoneticPr fontId="2" type="noConversion"/>
  </si>
  <si>
    <t>2번 진행, 2번째 값 기입</t>
    <phoneticPr fontId="2" type="noConversion"/>
  </si>
  <si>
    <t>Specification of Step Height Sample for repeatability test</t>
    <phoneticPr fontId="2" type="noConversion"/>
  </si>
  <si>
    <t>UseEncoder</t>
    <phoneticPr fontId="2" type="noConversion"/>
  </si>
  <si>
    <t>FastScanPixelSize</t>
    <phoneticPr fontId="2" type="noConversion"/>
  </si>
  <si>
    <t xml:space="preserve">ProfileCountThreshold </t>
    <phoneticPr fontId="2" type="noConversion"/>
  </si>
  <si>
    <t xml:space="preserve">RecoveryCountThreshold </t>
    <phoneticPr fontId="2" type="noConversion"/>
  </si>
  <si>
    <t xml:space="preserve">PreventionFailureRate </t>
    <phoneticPr fontId="2" type="noConversion"/>
  </si>
  <si>
    <t xml:space="preserve">PreventionTorqueThreshold  </t>
    <phoneticPr fontId="2" type="noConversion"/>
  </si>
  <si>
    <t xml:space="preserve">Position Based Profiler DB setting : ExtTriggerAUXSource </t>
    <phoneticPr fontId="2" type="noConversion"/>
  </si>
  <si>
    <t xml:space="preserve">HomeMode </t>
    <phoneticPr fontId="2" type="noConversion"/>
  </si>
  <si>
    <t xml:space="preserve">Position Based Profiler DB setting : ExtTriggerThresholdVolt </t>
    <phoneticPr fontId="2" type="noConversion"/>
  </si>
  <si>
    <t xml:space="preserve">PreventionFailAction </t>
    <phoneticPr fontId="2" type="noConversion"/>
  </si>
  <si>
    <t xml:space="preserve">UseRecovery </t>
    <phoneticPr fontId="2" type="noConversion"/>
  </si>
  <si>
    <t xml:space="preserve">Position Based Profiler DB setting : UsePositionSync </t>
    <phoneticPr fontId="2" type="noConversion"/>
  </si>
  <si>
    <t xml:space="preserve">Igain </t>
    <phoneticPr fontId="2" type="noConversion"/>
  </si>
  <si>
    <t xml:space="preserve">IGainWhileMoving </t>
    <phoneticPr fontId="2" type="noConversion"/>
  </si>
  <si>
    <t xml:space="preserve">OverProfileAfterMM </t>
    <phoneticPr fontId="2" type="noConversion"/>
  </si>
  <si>
    <t xml:space="preserve">OverProfileBeforeMM </t>
    <phoneticPr fontId="2" type="noConversion"/>
  </si>
  <si>
    <t xml:space="preserve">Mileage </t>
    <phoneticPr fontId="2" type="noConversion"/>
  </si>
  <si>
    <t>Origin</t>
    <phoneticPr fontId="2" type="noConversion"/>
  </si>
  <si>
    <t xml:space="preserve">Position Based Profiler DB setting : ExtTriggerType </t>
    <phoneticPr fontId="2" type="noConversion"/>
  </si>
  <si>
    <t xml:space="preserve">Dgain </t>
    <phoneticPr fontId="2" type="noConversion"/>
  </si>
  <si>
    <t xml:space="preserve">DGainWhileMoving </t>
    <phoneticPr fontId="2" type="noConversion"/>
  </si>
  <si>
    <t xml:space="preserve">Pgain </t>
    <phoneticPr fontId="2" type="noConversion"/>
  </si>
  <si>
    <t xml:space="preserve">PGainWhileMoving </t>
    <phoneticPr fontId="2" type="noConversion"/>
  </si>
  <si>
    <t xml:space="preserve">FullRecoveryProfileLength </t>
    <phoneticPr fontId="2" type="noConversion"/>
  </si>
  <si>
    <t xml:space="preserve">PosMax </t>
    <phoneticPr fontId="2" type="noConversion"/>
  </si>
  <si>
    <t xml:space="preserve">PosMin </t>
    <phoneticPr fontId="2" type="noConversion"/>
  </si>
  <si>
    <t xml:space="preserve">MaxLength </t>
    <phoneticPr fontId="2" type="noConversion"/>
  </si>
  <si>
    <t>FullRecoveryProfileLength</t>
    <phoneticPr fontId="2" type="noConversion"/>
  </si>
  <si>
    <t xml:space="preserve">HeadCrashThreshold </t>
    <phoneticPr fontId="2" type="noConversion"/>
  </si>
  <si>
    <t xml:space="preserve">UseEncoder </t>
    <phoneticPr fontId="2" type="noConversion"/>
  </si>
  <si>
    <t xml:space="preserve">Maker of the motion control board </t>
    <phoneticPr fontId="2" type="noConversion"/>
  </si>
  <si>
    <t>ServoCutoffFrequencyHz</t>
    <phoneticPr fontId="2" type="noConversion"/>
  </si>
  <si>
    <t>ResonanceFrequencyHz</t>
    <phoneticPr fontId="2" type="noConversion"/>
  </si>
  <si>
    <t xml:space="preserve">FullPixelHeight </t>
    <phoneticPr fontId="2" type="noConversion"/>
  </si>
  <si>
    <t xml:space="preserve">FullPixel </t>
    <phoneticPr fontId="2" type="noConversion"/>
  </si>
  <si>
    <t>Field Of View in large view</t>
    <phoneticPr fontId="2" type="noConversion"/>
  </si>
  <si>
    <t>Specification of Step Height Sample for short-term stability test</t>
    <phoneticPr fontId="2" type="noConversion"/>
  </si>
  <si>
    <t>Specification of Step Height Sample for Z Linearity by Z scanner position test</t>
    <phoneticPr fontId="2" type="noConversion"/>
  </si>
  <si>
    <t>AFM Head</t>
  </si>
  <si>
    <t>Test 샘플 정보 기입란 추가 : Specification of Step height sample for Repeatability test (180nm)</t>
    <phoneticPr fontId="2" type="noConversion"/>
  </si>
  <si>
    <t>Test 샘플 정보 기입란 추가 : Specification of Step Height Sample for Z Linearity by Z scanner position test (180nm)</t>
    <phoneticPr fontId="2" type="noConversion"/>
  </si>
  <si>
    <t>Test 샘플 정보 기입란 추가 :Specification of Step Height Sample for short-term stability test (450nm)</t>
    <phoneticPr fontId="2" type="noConversion"/>
  </si>
  <si>
    <t>ResonanceFrequencyHz/ServoCutoffFrequencyHz : 단위 Hz 추가</t>
    <phoneticPr fontId="2" type="noConversion"/>
  </si>
  <si>
    <t>Maker of the motion control board : HCMNEW -&gt; PSC</t>
    <phoneticPr fontId="2" type="noConversion"/>
  </si>
  <si>
    <t>Check for the latest update on anti-virus software</t>
  </si>
  <si>
    <t>Check for the latest update on anti-virus software</t>
    <phoneticPr fontId="2" type="noConversion"/>
  </si>
  <si>
    <t>anti virus software가 최신 업데이트 상태여야함</t>
    <phoneticPr fontId="2" type="noConversion"/>
  </si>
  <si>
    <t>Check for the number of viruses detected after the virus scan.</t>
  </si>
  <si>
    <t>scan된 virus 개수 확인, virus가 0개여야 함</t>
    <phoneticPr fontId="2" type="noConversion"/>
  </si>
  <si>
    <t>Align the XY stage origin and sample origin</t>
    <phoneticPr fontId="2" type="noConversion"/>
  </si>
  <si>
    <t>OCR score : Ioss 120, Cognex 198</t>
    <phoneticPr fontId="2" type="noConversion"/>
  </si>
  <si>
    <t>Lift pins synchronization offset check : spec. ≤ 50um</t>
    <phoneticPr fontId="2" type="noConversion"/>
  </si>
  <si>
    <t>Check item 명 수정</t>
    <phoneticPr fontId="2" type="noConversion"/>
  </si>
  <si>
    <t>ZStage in DB</t>
    <phoneticPr fontId="2" type="noConversion"/>
  </si>
  <si>
    <t>Info in XY Stage DB</t>
  </si>
  <si>
    <t>X/YScanner in DB</t>
    <phoneticPr fontId="2" type="noConversion"/>
  </si>
  <si>
    <t>Carmera in Vision DB</t>
  </si>
  <si>
    <t>Carmera in Vision DB</t>
    <phoneticPr fontId="2" type="noConversion"/>
  </si>
  <si>
    <t>FieldOfView in Vision Carmera DB</t>
    <phoneticPr fontId="2" type="noConversion"/>
  </si>
  <si>
    <t>Info in Profiler DB</t>
  </si>
  <si>
    <t>FocusStage in DB</t>
  </si>
  <si>
    <t>EFEM(FFU Open type)</t>
  </si>
  <si>
    <t>Air pressure @ 60% of FFU : Spec 1.0 -&gt; 1.25</t>
    <phoneticPr fontId="2" type="noConversion"/>
  </si>
  <si>
    <t>Firmware version of Motor board : 0x6E31041C 추가</t>
    <phoneticPr fontId="2" type="noConversion"/>
  </si>
  <si>
    <t>Firmware version of Base board  : 0x6E11041C 추가</t>
    <phoneticPr fontId="2" type="noConversion"/>
  </si>
  <si>
    <t>*즉시 적용건은 노란색 음영으로 표기</t>
    <phoneticPr fontId="2" type="noConversion"/>
  </si>
  <si>
    <t>Check item spec 추가</t>
    <phoneticPr fontId="2" type="noConversion"/>
  </si>
  <si>
    <t>*XY Stage controller 없는 시스템</t>
    <phoneticPr fontId="2" type="noConversion"/>
  </si>
  <si>
    <t>v3.12.2</t>
    <phoneticPr fontId="2" type="noConversion"/>
  </si>
  <si>
    <t>[Spare Part] AFM Head(Long)</t>
  </si>
  <si>
    <t>Z Height calibration value in Large Mode (MicrometerPerAdcHigh in ZDetector DB)</t>
  </si>
  <si>
    <t>Z Drive calibration value in Large Mode (MicrometerPerDacHigh in ZScanner DB)</t>
  </si>
  <si>
    <t>Z Height calibration value in Small Mode (MicrometerPerAdcLow in ZDetector DB)</t>
  </si>
  <si>
    <t>Z Drive calibration value in Small Mode (MicrometerPerDacLow in ZScanner DB)</t>
  </si>
  <si>
    <t>Z Height noise : check list 인쇄시 숨김처리</t>
    <phoneticPr fontId="2" type="noConversion"/>
  </si>
  <si>
    <t xml:space="preserve">AFM Head(NX-Wafer200mm) : 4) Under 50nm Step Height Sample (10 Repeats) 추가  </t>
    <phoneticPr fontId="2" type="noConversion"/>
  </si>
  <si>
    <t>AFM Head(Wafer,HDM,PSS)</t>
    <phoneticPr fontId="2" type="noConversion"/>
  </si>
  <si>
    <t>Check DotNET Framework Version</t>
    <phoneticPr fontId="2" type="noConversion"/>
  </si>
  <si>
    <t>Version 4.6 이상인지 확인, ([PST] Environmental Check 프로그램 사용하여 확인)</t>
    <phoneticPr fontId="2" type="noConversion"/>
  </si>
  <si>
    <t>Check DotNET Framework Version : Spec 4.6이상</t>
    <phoneticPr fontId="2" type="noConversion"/>
  </si>
  <si>
    <t>샘플 구입 완료되어 추가됨</t>
    <phoneticPr fontId="2" type="noConversion"/>
  </si>
  <si>
    <t xml:space="preserve">Aligned stage accuracy (X/Y offset-Point Align1/2/3) : Aligned stage accuracy 값에서 추출하는 테스트 </t>
    <phoneticPr fontId="2" type="noConversion"/>
  </si>
  <si>
    <t>AFM Head(Wafer,HDM,PSS,WLI)</t>
    <phoneticPr fontId="2" type="noConversion"/>
  </si>
  <si>
    <t xml:space="preserve">AFM Head type 4가지로 관리 : Standard/Long -&gt; Auto standard/Auto long/Standard/Long </t>
    <phoneticPr fontId="2" type="noConversion"/>
  </si>
  <si>
    <t>RFID Type 오타 수정 : LW -&gt; LF</t>
    <phoneticPr fontId="2" type="noConversion"/>
  </si>
  <si>
    <t>EFEM(Single Load port)</t>
    <phoneticPr fontId="2" type="noConversion"/>
  </si>
  <si>
    <t>Check 250 cycle of wafer load and unload without error</t>
    <phoneticPr fontId="2" type="noConversion"/>
  </si>
  <si>
    <t>Single LoadPort인 경우 250times</t>
    <phoneticPr fontId="2" type="noConversion"/>
  </si>
  <si>
    <t>Check 500 cycle of wafer load and unload without error (Dual loadport)</t>
    <phoneticPr fontId="2" type="noConversion"/>
  </si>
  <si>
    <t>Check 250 cycle of wafer load and unload without error (Single loadport)</t>
    <phoneticPr fontId="2" type="noConversion"/>
  </si>
  <si>
    <t>XY Stage positioning X offset (Vision Pattern Matching)</t>
    <phoneticPr fontId="2" type="noConversion"/>
  </si>
  <si>
    <t>XY Stage positioning Y offset (Vision Pattern Matching)</t>
    <phoneticPr fontId="2" type="noConversion"/>
  </si>
  <si>
    <t>XY Stage positioning Y offset (In-Die Align)</t>
    <phoneticPr fontId="2" type="noConversion"/>
  </si>
  <si>
    <t>XY Stage positioning X offset (In-Die Align)</t>
    <phoneticPr fontId="2" type="noConversion"/>
  </si>
  <si>
    <t>XY Stage positioning X offset (LLC Translation)</t>
    <phoneticPr fontId="2" type="noConversion"/>
  </si>
  <si>
    <t>XY Stage positioning Y offset (LLC Translation)</t>
    <phoneticPr fontId="2" type="noConversion"/>
  </si>
  <si>
    <t>XY Stage positioning X offset (Global Align)</t>
    <phoneticPr fontId="2" type="noConversion"/>
  </si>
  <si>
    <t>XY Stage positioning Y offset (Global Align)</t>
    <phoneticPr fontId="2" type="noConversion"/>
  </si>
  <si>
    <t>XY Stage(Wafer/WLI)</t>
    <phoneticPr fontId="2" type="noConversion"/>
  </si>
  <si>
    <t>ISO1</t>
    <phoneticPr fontId="2" type="noConversion"/>
  </si>
  <si>
    <t>Spec수정</t>
    <phoneticPr fontId="10" type="noConversion"/>
  </si>
  <si>
    <t>Price list와 매칭</t>
    <phoneticPr fontId="2" type="noConversion"/>
  </si>
  <si>
    <t>Cleanness of EFEM w/ airborne particle measurement SPEC : ISO3 -&gt; ISO1</t>
    <phoneticPr fontId="10" type="noConversion"/>
  </si>
  <si>
    <t>*Checklist에 음영 표시건이 개정내용</t>
    <phoneticPr fontId="2" type="noConversion"/>
  </si>
  <si>
    <t>Laser Scattering</t>
    <phoneticPr fontId="2" type="noConversion"/>
  </si>
  <si>
    <t>Laser intensity from laser source controller</t>
    <phoneticPr fontId="2" type="noConversion"/>
  </si>
  <si>
    <t>mW</t>
    <phoneticPr fontId="2" type="noConversion"/>
  </si>
  <si>
    <t>Laser intensity from beam focusing module</t>
    <phoneticPr fontId="2" type="noConversion"/>
  </si>
  <si>
    <t>Laser Scattering(Wafer/HDM)</t>
    <phoneticPr fontId="2" type="noConversion"/>
  </si>
  <si>
    <t>Full range in voltage during Z Scan sweep : 15V이상 -&gt; 11.8V~15.4V(이전 Spec오류)</t>
    <phoneticPr fontId="2" type="noConversion"/>
  </si>
  <si>
    <t>XY Stage positioning X/Y offset (Vision Pattern Matching/In-Die Align/LLC Translation/Global Align)</t>
    <phoneticPr fontId="2" type="noConversion"/>
  </si>
  <si>
    <t>v3.13.0</t>
    <phoneticPr fontId="2" type="noConversion"/>
  </si>
  <si>
    <t>DB값 기입, XY Stage 체결위치 check</t>
    <phoneticPr fontId="2" type="noConversion"/>
  </si>
  <si>
    <t>XY Stage(Wafer,WLI,Mask)</t>
    <phoneticPr fontId="2" type="noConversion"/>
  </si>
  <si>
    <t>Sample Loading Position to Y : spec max -20000 추가</t>
    <phoneticPr fontId="2" type="noConversion"/>
  </si>
  <si>
    <t>XY Stage 체결 문제로 인한 스펙 추가</t>
    <phoneticPr fontId="2" type="noConversion"/>
  </si>
  <si>
    <t>아래 측정(Z Linearity by Z scanner position test) 에 사용하는 Sample(450nm) spec 기입 ex)450 ± 2.0nm</t>
    <phoneticPr fontId="2" type="noConversion"/>
  </si>
  <si>
    <t xml:space="preserve">Z Drift </t>
    <phoneticPr fontId="2" type="noConversion"/>
  </si>
  <si>
    <t>Check item 방법 변경</t>
    <phoneticPr fontId="2" type="noConversion"/>
  </si>
  <si>
    <t>Z Drift Recipe 변경, zeroscan recipe와 함께 측정되게 변경</t>
    <phoneticPr fontId="2" type="noConversion"/>
  </si>
  <si>
    <t>Measurement</t>
    <phoneticPr fontId="2" type="noConversion"/>
  </si>
  <si>
    <t>서명란 변경</t>
    <phoneticPr fontId="2" type="noConversion"/>
  </si>
  <si>
    <t>조직개편으로 인한 서명란 수정</t>
    <phoneticPr fontId="2" type="noConversion"/>
  </si>
  <si>
    <t>Manufacturing Engineer</t>
    <phoneticPr fontId="2" type="noConversion"/>
  </si>
  <si>
    <t>Production QC Engineer</t>
    <phoneticPr fontId="2" type="noConversion"/>
  </si>
  <si>
    <t>Team Manager of Production QC</t>
    <phoneticPr fontId="2" type="noConversion"/>
  </si>
  <si>
    <t>XY Scanner</t>
    <phoneticPr fontId="2" type="noConversion"/>
  </si>
  <si>
    <t xml:space="preserve">X/Y Non-linearity error : ±4%, 0~4%로 수정 </t>
    <phoneticPr fontId="2" type="noConversion"/>
  </si>
  <si>
    <t>Z Height calibration value in Large Mode (MicrometerPerAdcHigh in ZDetector DB) : 60~70 -&gt;43~92</t>
    <phoneticPr fontId="2" type="noConversion"/>
  </si>
  <si>
    <t>Z Height noise spec 확정으로 테스트 추가됨 : spec &lt; 0.1nm</t>
    <phoneticPr fontId="2" type="noConversion"/>
  </si>
  <si>
    <t>Full range in um during Z Scan sweep : Max spec 삭제</t>
    <phoneticPr fontId="2" type="noConversion"/>
  </si>
  <si>
    <t>AFM Head(Standard)/TSH</t>
    <phoneticPr fontId="2" type="noConversion"/>
  </si>
  <si>
    <t>Check item spec 단위 변경</t>
    <phoneticPr fontId="2" type="noConversion"/>
  </si>
  <si>
    <t>Z Drift spec 단위 변경, 0.3nm/s -&gt; 20nm</t>
    <phoneticPr fontId="2" type="noConversion"/>
  </si>
  <si>
    <t>sec</t>
    <phoneticPr fontId="2" type="noConversion"/>
  </si>
  <si>
    <t>Performance(Wafer,HDM,WLI)</t>
    <phoneticPr fontId="2" type="noConversion"/>
  </si>
  <si>
    <t>Acoustic Enclosure</t>
  </si>
  <si>
    <t>Acoustic Enclosure(Isolated AE)</t>
    <phoneticPr fontId="2" type="noConversion"/>
  </si>
  <si>
    <t>Acoustic Enclosure(Double Walled AE)</t>
    <phoneticPr fontId="2" type="noConversion"/>
  </si>
  <si>
    <t>Probehand type</t>
    <phoneticPr fontId="2" type="noConversion"/>
  </si>
  <si>
    <t>Beam intensity with AC160TS cantilever</t>
    <phoneticPr fontId="2" type="noConversion"/>
  </si>
  <si>
    <t>NCM driving% with AC160TS cantilever</t>
    <phoneticPr fontId="2" type="noConversion"/>
  </si>
  <si>
    <t>Full range of Z Detector during Z Scan sweep</t>
    <phoneticPr fontId="2" type="noConversion"/>
  </si>
  <si>
    <t>Full range of Z Height during Z Scan sweep</t>
    <phoneticPr fontId="2" type="noConversion"/>
  </si>
  <si>
    <t>Windows version</t>
    <phoneticPr fontId="2" type="noConversion"/>
  </si>
  <si>
    <t>LowerLimit</t>
    <phoneticPr fontId="2" type="noConversion"/>
  </si>
  <si>
    <t>UpperLimit</t>
    <phoneticPr fontId="2" type="noConversion"/>
  </si>
  <si>
    <t xml:space="preserve">Lateral(C-D) sensitivity </t>
    <phoneticPr fontId="2" type="noConversion"/>
  </si>
  <si>
    <t>Lateral(C-D) noise</t>
    <phoneticPr fontId="2" type="noConversion"/>
  </si>
  <si>
    <t>Full range of X1 Detector during X Scan sweep</t>
    <phoneticPr fontId="2" type="noConversion"/>
  </si>
  <si>
    <t>Full range of X2 Detector during X Scan sweep</t>
    <phoneticPr fontId="2" type="noConversion"/>
  </si>
  <si>
    <t>Full range of X Detector during X Scan sweep</t>
    <phoneticPr fontId="2" type="noConversion"/>
  </si>
  <si>
    <t>Full range of Y1 Detector during Y Scan sweep</t>
    <phoneticPr fontId="2" type="noConversion"/>
  </si>
  <si>
    <t>Full range of Y Detector during Y Scan sweep</t>
    <phoneticPr fontId="2" type="noConversion"/>
  </si>
  <si>
    <t>Full range of Y2 Detector during Y Scan sweep</t>
    <phoneticPr fontId="2" type="noConversion"/>
  </si>
  <si>
    <t>Full range of X1 Detector Raw during X Scan sweep</t>
    <phoneticPr fontId="2" type="noConversion"/>
  </si>
  <si>
    <t>Full range of X2 Detector Raw during X Scan sweep</t>
    <phoneticPr fontId="2" type="noConversion"/>
  </si>
  <si>
    <t>X axis OPM</t>
    <phoneticPr fontId="2" type="noConversion"/>
  </si>
  <si>
    <t>@80x80um</t>
  </si>
  <si>
    <t xml:space="preserve">Y axis OPM </t>
    <phoneticPr fontId="2" type="noConversion"/>
  </si>
  <si>
    <t>X Detector noise (XY Servo on)</t>
    <phoneticPr fontId="2" type="noConversion"/>
  </si>
  <si>
    <t>Y Detector noise (XY Servo on)</t>
    <phoneticPr fontId="2" type="noConversion"/>
  </si>
  <si>
    <t>X1 Detector noise (XY Servo on)</t>
    <phoneticPr fontId="2" type="noConversion"/>
  </si>
  <si>
    <t>Y1 Detector noise (XY Servo on)</t>
    <phoneticPr fontId="2" type="noConversion"/>
  </si>
  <si>
    <t>X2 Detector noise (XY Servo on)</t>
    <phoneticPr fontId="2" type="noConversion"/>
  </si>
  <si>
    <t>Y2 Detector noise (XY Servo on)</t>
    <phoneticPr fontId="2" type="noConversion"/>
  </si>
  <si>
    <t xml:space="preserve">Lateral(C-D) sensitivity </t>
  </si>
  <si>
    <t>Lateral(C-D) noise</t>
  </si>
  <si>
    <t>Full range of Y1 Detector Raw during Y Scan sweep</t>
    <phoneticPr fontId="2" type="noConversion"/>
  </si>
  <si>
    <t>Full range of Y2 Detector Raw during Y Scan sweep</t>
    <phoneticPr fontId="2" type="noConversion"/>
  </si>
  <si>
    <t>Full range of Y Detector during Y Scan sweep</t>
  </si>
  <si>
    <t>Check item 문구 변경</t>
    <phoneticPr fontId="2" type="noConversion"/>
  </si>
  <si>
    <t>Static Repeatability w/ 180nm Step Height Sample 측정 Data log로 확인, 가이드 참고하여 분석시트 사용</t>
    <phoneticPr fontId="2" type="noConversion"/>
  </si>
  <si>
    <t>TSH</t>
    <phoneticPr fontId="2" type="noConversion"/>
  </si>
  <si>
    <t>Z Linearity by Z scanner position SPEC 변경 : 1.5% -&gt; 2%</t>
    <phoneticPr fontId="2" type="noConversion"/>
  </si>
  <si>
    <t>분석시트상 절대값으로 되어있어 수정</t>
    <phoneticPr fontId="2" type="noConversion"/>
  </si>
  <si>
    <t>Cycle time for 15-point measurement</t>
    <phoneticPr fontId="2" type="noConversion"/>
  </si>
  <si>
    <t xml:space="preserve">측정시 Sample EFEM으로 로딩하는 Job으로 진행 필요 3.13.0 부터 해당레시피 변경됨 </t>
    <phoneticPr fontId="2" type="noConversion"/>
  </si>
  <si>
    <t>연구용 Checklist와 명칭 통일(NX-Wafer Sheet에 파란색 음영으로 표시 되어있음)</t>
    <phoneticPr fontId="2" type="noConversion"/>
  </si>
  <si>
    <r>
      <t xml:space="preserve">Cycle time for 15-point measurement </t>
    </r>
    <r>
      <rPr>
        <sz val="10"/>
        <rFont val="Arial Unicode MS"/>
        <family val="2"/>
        <charset val="129"/>
      </rPr>
      <t>추가</t>
    </r>
    <phoneticPr fontId="2" type="noConversion"/>
  </si>
  <si>
    <t>AFM, Static Repeatability w/ 180nm Step Height Sample측정시 log 확인 필요, 해당 Recipe 변경됨(Recipe v3.13.0)</t>
    <phoneticPr fontId="2" type="noConversion"/>
  </si>
  <si>
    <t>Trend</t>
    <phoneticPr fontId="2" type="noConversion"/>
  </si>
  <si>
    <t>Check item</t>
    <phoneticPr fontId="2" type="noConversion"/>
  </si>
  <si>
    <t>v3.14.0</t>
    <phoneticPr fontId="2" type="noConversion"/>
  </si>
  <si>
    <t>장순영</t>
    <phoneticPr fontId="2" type="noConversion"/>
  </si>
  <si>
    <t>Category 분류 위치 변경 및 Trend 분류 추가</t>
    <phoneticPr fontId="2" type="noConversion"/>
  </si>
  <si>
    <t>Check item spec 변경</t>
  </si>
  <si>
    <t>AFM Head(Wafer,HDM,PSS,WLI,Spare)</t>
    <phoneticPr fontId="2" type="noConversion"/>
  </si>
  <si>
    <t>Z Linearity by Z scanner position SPEC 변경 : 1.5% -&gt; 2%</t>
    <phoneticPr fontId="2" type="noConversion"/>
  </si>
  <si>
    <t>통일화 진행 (Long/Standard)</t>
    <phoneticPr fontId="2" type="noConversion"/>
  </si>
  <si>
    <t>Check item test 방법 변경</t>
    <phoneticPr fontId="2" type="noConversion"/>
  </si>
  <si>
    <t>Long head(2%) : Z scannner position -6,0,+6, Standard head(2%) : Z scannner position -3,0,+3</t>
    <phoneticPr fontId="2" type="noConversion"/>
  </si>
  <si>
    <t>Core Module의 Module No. 및 Revision 번호 기록 추가</t>
  </si>
  <si>
    <t>v3.15.0</t>
    <phoneticPr fontId="2" type="noConversion"/>
  </si>
  <si>
    <t>TSH Head를 사용하는 장비에서 Z Drift Spec 변경 20 -&gt;45</t>
    <phoneticPr fontId="2" type="noConversion"/>
  </si>
  <si>
    <t>Check if the bolts used for the AFM core module are assembled with standardized torque</t>
    <phoneticPr fontId="2" type="noConversion"/>
  </si>
  <si>
    <t>UsebreakInPrepare : 1</t>
    <phoneticPr fontId="2" type="noConversion"/>
  </si>
  <si>
    <t>Hoya NX-Mask에서 Mask 샘플 손상발견하여, UsebreakInprepare 활성화 필요</t>
    <phoneticPr fontId="2" type="noConversion"/>
  </si>
  <si>
    <t>비고</t>
    <phoneticPr fontId="2" type="noConversion"/>
  </si>
  <si>
    <t>품질개선 24-054</t>
    <phoneticPr fontId="2" type="noConversion"/>
  </si>
  <si>
    <t>품질개선 24-037</t>
    <phoneticPr fontId="2" type="noConversion"/>
  </si>
  <si>
    <t>[Cabinet door alarm DB setting] 
FailityController-Emergency-bUse : 1
FailityController-SignTower-bUseBuzzer : 1
위 DB 활성화 후 Cabinet door(Front/Rear/Side)를 열며, Alarm 확인(Signal tower Red/Buzzer on/XEA Alarm) 및 XEA 이미지 저장</t>
    <phoneticPr fontId="2" type="noConversion"/>
  </si>
  <si>
    <t>Check the cabinet front/rear/side door alarm 3가지 추가</t>
    <phoneticPr fontId="2" type="noConversion"/>
  </si>
  <si>
    <t>OBQ 발생</t>
    <phoneticPr fontId="2" type="noConversion"/>
  </si>
  <si>
    <t>EFEM(Mask)</t>
    <phoneticPr fontId="2" type="noConversion"/>
  </si>
  <si>
    <t>Port1 Lens magnification</t>
  </si>
  <si>
    <t>Port2 Lens magnification</t>
  </si>
  <si>
    <t>Lens Port2 (to OnAxis) Offset</t>
  </si>
  <si>
    <t>Lens Port1 (to OnAxis) Offset</t>
  </si>
  <si>
    <t>Angle Align Between Port1 Lens and Sample Chuck: X</t>
  </si>
  <si>
    <t>Angle Align Between Port1 Lens and Sample Chuck: Y</t>
  </si>
  <si>
    <t xml:space="preserve">	Angle Align Between Port2 Lens and Sample Chuck: X</t>
  </si>
  <si>
    <t xml:space="preserve">	Angle Align Between Port2 Lens and Sample Chuck: Y</t>
  </si>
  <si>
    <t>Angle Align Between Port2 Lens and VLSI SHS: X</t>
  </si>
  <si>
    <t>Angle Align Between Port2 Lens and VLSI SHS: Y</t>
  </si>
  <si>
    <t>Port1 Lens Background Effect Remove Setup</t>
  </si>
  <si>
    <t>Port2 Lens Background Effect Remove Setup</t>
  </si>
  <si>
    <t>Port1 Lens Resolution</t>
  </si>
  <si>
    <t>Port2 Lens Resolution</t>
  </si>
  <si>
    <t>WLI Repeatability(WLI)</t>
    <phoneticPr fontId="2" type="noConversion"/>
  </si>
  <si>
    <t>Short-term Static repeatability (3σ): WLI Mode (White light Interferometer)</t>
  </si>
  <si>
    <t>Short-term Static repeatability (RSD): WLI Mode (White light Interferometer)</t>
  </si>
  <si>
    <t>아래 두 테스트 모두 출고되는 가장 큰 렌즈 사용하여 측정 진행</t>
    <phoneticPr fontId="2" type="noConversion"/>
  </si>
  <si>
    <t>WLI Vision(WLI)</t>
    <phoneticPr fontId="2" type="noConversion"/>
  </si>
  <si>
    <t>Check item 명 및 Check item test 방법 변경</t>
    <phoneticPr fontId="2" type="noConversion"/>
  </si>
  <si>
    <t>아래 테스트 모두 출고되는 가장 큰 렌즈 사용하여 측정 진행</t>
    <phoneticPr fontId="2" type="noConversion"/>
  </si>
  <si>
    <t>XEA version</t>
  </si>
  <si>
    <t>XEService version</t>
  </si>
  <si>
    <t xml:space="preserve">  - 940nm Step Height Sample (10 Repeats) </t>
    <phoneticPr fontId="2" type="noConversion"/>
  </si>
  <si>
    <t xml:space="preserve">  - 200~500nm Step Height Sample (10 Repeats) </t>
  </si>
  <si>
    <t xml:space="preserve">  - 200~500nm Step Height Sample (10 Repeats) </t>
    <phoneticPr fontId="2" type="noConversion"/>
  </si>
  <si>
    <t xml:space="preserve">  - 50~200nm Step Height Sample (10 Repeats) </t>
  </si>
  <si>
    <t xml:space="preserve">  - 50~200nm Step Height Sample (10 Repeats) </t>
    <phoneticPr fontId="2" type="noConversion"/>
  </si>
  <si>
    <t xml:space="preserve">  - Under 50nm Step Height Sample (10 Repeats) </t>
  </si>
  <si>
    <t xml:space="preserve">  - Under 50nm Step Height Sample (10 Repeats) </t>
    <phoneticPr fontId="2" type="noConversion"/>
  </si>
  <si>
    <t>관리도 항목으로 통일화 목적</t>
    <phoneticPr fontId="2" type="noConversion"/>
  </si>
  <si>
    <t>AFM Head, TSH</t>
    <phoneticPr fontId="2" type="noConversion"/>
  </si>
  <si>
    <t>Check item 명 변경</t>
    <phoneticPr fontId="2" type="noConversion"/>
  </si>
  <si>
    <t>아래 항목들 앞에 순번 제거</t>
    <phoneticPr fontId="2" type="noConversion"/>
  </si>
  <si>
    <t>품질개선 24-055</t>
    <phoneticPr fontId="2" type="noConversion"/>
  </si>
  <si>
    <t>산업용 장비 PC에서 고용량 Recipe 사용 시  SW Freezing 되는 현상 발생 (Hoya Mask)</t>
    <phoneticPr fontId="2" type="noConversion"/>
  </si>
  <si>
    <r>
      <t xml:space="preserve">Z Drive calibration value in Large Mode (MicrometerPerDacHigh in ZScanner DB) : MAX 12 -&gt; X (Max Spec. </t>
    </r>
    <r>
      <rPr>
        <sz val="10"/>
        <color theme="1"/>
        <rFont val="Arial Unicode MS"/>
        <family val="2"/>
        <charset val="129"/>
      </rPr>
      <t>제거)</t>
    </r>
    <phoneticPr fontId="2" type="noConversion"/>
  </si>
  <si>
    <t>품질개선 24-036</t>
    <phoneticPr fontId="2" type="noConversion"/>
  </si>
  <si>
    <t>Elec-regulator(Spare Part)</t>
    <phoneticPr fontId="2" type="noConversion"/>
  </si>
  <si>
    <t>아래 DB 설정 항목들 추가 및 기능 확인 내용 추가</t>
    <phoneticPr fontId="2" type="noConversion"/>
  </si>
  <si>
    <t>Check the serial communication</t>
  </si>
  <si>
    <t>Detector - bUse</t>
  </si>
  <si>
    <t>Detector - bUseRegulator</t>
  </si>
  <si>
    <t>Regulator - Info - bSimulation</t>
  </si>
  <si>
    <t>Regulator - Info - bUse</t>
  </si>
  <si>
    <t>Regulator - Info - bUseLog</t>
  </si>
  <si>
    <t>Regulator - Info - Delay</t>
  </si>
  <si>
    <t>Regulator - Info - DetectThreshold</t>
  </si>
  <si>
    <t>Regulator - Info - FS</t>
  </si>
  <si>
    <t>Regulator - Info - HighVacuum</t>
  </si>
  <si>
    <t>Regulator - Info - LowVacuum</t>
  </si>
  <si>
    <t>Regulator - Info - Maker</t>
  </si>
  <si>
    <t>Regulator - Info - UpdataDelayMillisec</t>
  </si>
  <si>
    <t>Regulator - Info - ValidThreshold</t>
  </si>
  <si>
    <t>Regulator - SerialPort - PortNo</t>
  </si>
  <si>
    <t>Regulator - SerialPort - BaudRate</t>
  </si>
  <si>
    <t>Check if the vacuum changes from -5kPa to -50kPa</t>
  </si>
  <si>
    <t>Check if the vacuum changes from -50kPa to -5kPa</t>
  </si>
  <si>
    <t>Check if the system transitions to a high vacuum state after the job is completed</t>
  </si>
  <si>
    <t>품질개선 24-059</t>
    <phoneticPr fontId="2" type="noConversion"/>
  </si>
  <si>
    <t>Check SW &amp; DB backup (Installed Software, XEA &amp; XEService)</t>
    <phoneticPr fontId="2" type="noConversion"/>
  </si>
  <si>
    <t>Delete unnecessary files and usage records from the computer according to internal guidelines</t>
    <phoneticPr fontId="2" type="noConversion"/>
  </si>
  <si>
    <t>PC 정리 가이드 참고</t>
    <phoneticPr fontId="2" type="noConversion"/>
  </si>
  <si>
    <t>Xms4096m in xea.vmoptions</t>
    <phoneticPr fontId="2" type="noConversion"/>
  </si>
  <si>
    <t>Xmx16384m in xea.vmoptions</t>
    <phoneticPr fontId="2" type="noConversion"/>
  </si>
  <si>
    <t xml:space="preserve">'Xms4096m' in xea.vmoptions </t>
    <phoneticPr fontId="2" type="noConversion"/>
  </si>
  <si>
    <t>'Xmx16384m' in xea.vmoptions</t>
    <phoneticPr fontId="2" type="noConversion"/>
  </si>
  <si>
    <t>'Xms128m' in xei.vmoptions</t>
    <phoneticPr fontId="2" type="noConversion"/>
  </si>
  <si>
    <t>'Xmx2048m' in xei.vmoptions</t>
    <phoneticPr fontId="2" type="noConversion"/>
  </si>
  <si>
    <t>Park systems - XEA - Bin - xea.vmoptions</t>
    <phoneticPr fontId="2" type="noConversion"/>
  </si>
  <si>
    <t>B100-NCH A-B Calibration(F/D Curve)</t>
    <phoneticPr fontId="2" type="noConversion"/>
  </si>
  <si>
    <t>B100-NCH Calibration 후 측정</t>
    <phoneticPr fontId="2" type="noConversion"/>
  </si>
  <si>
    <t>System noise</t>
    <phoneticPr fontId="2" type="noConversion"/>
  </si>
  <si>
    <t>Remark 변경</t>
    <phoneticPr fontId="2" type="noConversion"/>
  </si>
  <si>
    <t>아래 두 테스트에 사용하는 Tip 변경 (HSC60 -&gt; B100-NCH)</t>
    <phoneticPr fontId="2" type="noConversion"/>
  </si>
  <si>
    <t>DB값 기입, XY Stage 체결위치 check, 분리형 AE인 경우만 Spec있음 일체형 AE는 Spec 없음</t>
    <phoneticPr fontId="2" type="noConversion"/>
  </si>
  <si>
    <t>v3.16.0</t>
    <phoneticPr fontId="2" type="noConversion"/>
  </si>
  <si>
    <t>WLI Z scanner(WLI)</t>
    <phoneticPr fontId="2" type="noConversion"/>
  </si>
  <si>
    <t>품질개선 24-079</t>
    <phoneticPr fontId="2" type="noConversion"/>
  </si>
  <si>
    <t>Spec out 발생</t>
    <phoneticPr fontId="2" type="noConversion"/>
  </si>
  <si>
    <t>Elec-regulator(WLI)</t>
    <phoneticPr fontId="2" type="noConversion"/>
  </si>
  <si>
    <t>Selectable amplifier gain</t>
  </si>
  <si>
    <t>Noise level of current signal</t>
  </si>
  <si>
    <t>Resistance value of 1kΩ</t>
  </si>
  <si>
    <t>Resistance value of 1MΩ</t>
  </si>
  <si>
    <t>Firmware version of FEM</t>
  </si>
  <si>
    <t>Resistance between GND to Probehand</t>
  </si>
  <si>
    <t>Conductive AFM test sample (Cobalt-Doped Iron Oxide)</t>
  </si>
  <si>
    <t>CONTSCPt, 3M</t>
  </si>
  <si>
    <t>25Pt300B, 3M</t>
  </si>
  <si>
    <t>CDT-FMR, 3M</t>
  </si>
  <si>
    <t>pA</t>
  </si>
  <si>
    <t>μA</t>
  </si>
  <si>
    <t>nA</t>
  </si>
  <si>
    <t>MΩ</t>
  </si>
  <si>
    <t>Ω</t>
  </si>
  <si>
    <t>Conductive AFM(Wafer)</t>
    <phoneticPr fontId="2" type="noConversion"/>
  </si>
  <si>
    <r>
      <t xml:space="preserve"> 1) Maximum value of current signal at 10</t>
    </r>
    <r>
      <rPr>
        <vertAlign val="superscript"/>
        <sz val="10"/>
        <color theme="1"/>
        <rFont val="맑은 고딕"/>
        <family val="3"/>
        <charset val="129"/>
        <scheme val="minor"/>
      </rPr>
      <t>6</t>
    </r>
    <r>
      <rPr>
        <sz val="10"/>
        <color theme="1"/>
        <rFont val="맑은 고딕"/>
        <family val="3"/>
        <charset val="129"/>
        <scheme val="minor"/>
      </rPr>
      <t xml:space="preserve"> V/A</t>
    </r>
    <phoneticPr fontId="2" type="noConversion"/>
  </si>
  <si>
    <r>
      <t xml:space="preserve"> 2) Maximum value of current signal at 10</t>
    </r>
    <r>
      <rPr>
        <vertAlign val="superscript"/>
        <sz val="10"/>
        <color theme="1"/>
        <rFont val="맑은 고딕"/>
        <family val="3"/>
        <charset val="129"/>
        <scheme val="minor"/>
      </rPr>
      <t>9</t>
    </r>
    <r>
      <rPr>
        <sz val="10"/>
        <color theme="1"/>
        <rFont val="맑은 고딕"/>
        <family val="3"/>
        <charset val="129"/>
        <scheme val="minor"/>
      </rPr>
      <t xml:space="preserve"> V/A</t>
    </r>
    <phoneticPr fontId="2" type="noConversion"/>
  </si>
  <si>
    <t>C-AFM 산업용적용에 의한 Checklist 내용추가</t>
    <phoneticPr fontId="2" type="noConversion"/>
  </si>
  <si>
    <t>WLI_Scale(Z Calibration) : min30 -&gt; min25~max39 (출고장비 데이터의 3sigma 값으로 선정)</t>
    <phoneticPr fontId="2" type="noConversion"/>
  </si>
  <si>
    <t>Supply power of the on-axis camera through PoE</t>
  </si>
  <si>
    <t>Supply power of the on-axis camera through frame board</t>
  </si>
  <si>
    <t>Ethernet card type for on-axis camera 항목 삭제</t>
    <phoneticPr fontId="2" type="noConversion"/>
  </si>
  <si>
    <t>Check item 삭제</t>
    <phoneticPr fontId="2" type="noConversion"/>
  </si>
  <si>
    <t>Supply power of the on-axis camera through PoE</t>
    <phoneticPr fontId="2" type="noConversion"/>
  </si>
  <si>
    <t>Vision power cable 적용에 따른 내용 변경</t>
    <phoneticPr fontId="2" type="noConversion"/>
  </si>
  <si>
    <t>Main body</t>
    <phoneticPr fontId="2" type="noConversion"/>
  </si>
  <si>
    <t>firmware 버전(4.28 -&gt; 4.30)</t>
    <phoneticPr fontId="2" type="noConversion"/>
  </si>
  <si>
    <t>Firmware version of Motor board (0x6E300418, 0x6E310418, 0x6E31041C -&gt; 6e30041e, 6e31041e)</t>
    <phoneticPr fontId="2" type="noConversion"/>
  </si>
  <si>
    <t>Firmware version of Base board (0x6E110418, 0x6E100418, 0x6E11041C -&gt; 6e10041e, 6e11041e)</t>
    <phoneticPr fontId="2" type="noConversion"/>
  </si>
  <si>
    <t>Firmware version of Frame board (6E250418 -&gt; 6e24041e,6e25041e)</t>
    <phoneticPr fontId="2" type="noConversion"/>
  </si>
  <si>
    <t>Check XEA DB configuration for elec-regulator</t>
    <phoneticPr fontId="2" type="noConversion"/>
  </si>
  <si>
    <t>Check the communication</t>
  </si>
  <si>
    <t>Facility Controller(mask)</t>
    <phoneticPr fontId="2" type="noConversion"/>
  </si>
  <si>
    <t>품질개선 24-042</t>
    <phoneticPr fontId="2" type="noConversion"/>
  </si>
  <si>
    <t>Check XEA DB configuration for temperature and humidity sensor</t>
  </si>
  <si>
    <t>WLI System에 Elec-regulator default 적용/Test 가이드 참고</t>
    <phoneticPr fontId="2" type="noConversion"/>
  </si>
  <si>
    <t>NX-Mask 온습도 센서 Test 추가건/Test 가이드 참고</t>
    <phoneticPr fontId="2" type="noConversion"/>
  </si>
  <si>
    <t>Ethernet card type</t>
    <phoneticPr fontId="2" type="noConversion"/>
  </si>
  <si>
    <t>Ethernet card type 추가</t>
    <phoneticPr fontId="2" type="noConversion"/>
  </si>
  <si>
    <t>C-AFM combo probehand for NX</t>
  </si>
  <si>
    <t>Torque Profile (10mm, 200um/s) spec. 6--&gt;2로변경</t>
    <phoneticPr fontId="2" type="noConversion"/>
  </si>
  <si>
    <t>Sliding stage Motor current 증가 제품 평가 결과 근거</t>
    <phoneticPr fontId="2" type="noConversion"/>
  </si>
  <si>
    <t>Torque Profile (10mm, 20um/s) spec. 6--&gt;2로변경</t>
    <phoneticPr fontId="2" type="noConversion"/>
  </si>
  <si>
    <t>NX-STC-SS 1C 버전 사용 시 적용 필수</t>
    <phoneticPr fontId="2" type="noConversion"/>
  </si>
  <si>
    <t>Torque Profile (50mm, 200um/s) spec. 6--&gt;2로변경</t>
    <phoneticPr fontId="2" type="noConversion"/>
  </si>
  <si>
    <t>Torque Profile (50mm, 20um/s) spec. 6--&gt;2로변경</t>
    <phoneticPr fontId="2" type="noConversion"/>
  </si>
  <si>
    <t>PreventionTorqueThreshold spec. 6--&gt;3로변경</t>
    <phoneticPr fontId="2" type="noConversion"/>
  </si>
  <si>
    <t>Sliding Stage(Wafer,WLI,Spare Part)</t>
    <phoneticPr fontId="2" type="noConversion"/>
  </si>
  <si>
    <t>Misc(Wafer,WLI)</t>
    <phoneticPr fontId="2" type="noConversion"/>
  </si>
  <si>
    <t>Check if the bolts used for the AFM core module are assembled with standardized torque의 Guide 표 변경</t>
    <phoneticPr fontId="2" type="noConversion"/>
  </si>
  <si>
    <t>Info in Profiler DB,  Tuning 방법 guide 참고</t>
    <phoneticPr fontId="2" type="noConversion"/>
  </si>
  <si>
    <t xml:space="preserve">옆에 표 참고 </t>
    <phoneticPr fontId="2" type="noConversion"/>
  </si>
  <si>
    <t>기술미팅 240327, Sliding stage OPM 측정의 최적 토크 적용 및 ATX Bolt 풀림 방지로 인해 spring washer 추가</t>
    <phoneticPr fontId="2" type="noConversion"/>
  </si>
  <si>
    <t>IGainWhileMoving 0.1 -&gt; 0.03 로 변경</t>
    <phoneticPr fontId="2" type="noConversion"/>
  </si>
  <si>
    <t>Igain 0.1 -&gt; 0.03 로 변경</t>
    <phoneticPr fontId="2" type="noConversion"/>
  </si>
  <si>
    <t>Dgain 40~100 -&gt; 5~20 로 변경</t>
    <phoneticPr fontId="2" type="noConversion"/>
  </si>
  <si>
    <t>DGainWhileMoving 30~110 -&gt; 5~20 로 변경</t>
    <phoneticPr fontId="2" type="noConversion"/>
  </si>
  <si>
    <t>Pgain 40~100 -&gt; 5~20 로 변경</t>
    <phoneticPr fontId="2" type="noConversion"/>
  </si>
  <si>
    <t>PGainWhileMoving 30~110 -&gt; 5~20 로 변경</t>
    <phoneticPr fontId="2" type="noConversion"/>
  </si>
  <si>
    <t>Check encoder reader LED</t>
    <phoneticPr fontId="2" type="noConversion"/>
  </si>
  <si>
    <t xml:space="preserve">Check encoder reader LED </t>
    <phoneticPr fontId="2" type="noConversion"/>
  </si>
  <si>
    <t>RGH24H : Good-Green, V2BCH : Good-Blue</t>
    <phoneticPr fontId="2" type="noConversion"/>
  </si>
  <si>
    <t>Encoder model 추가 (RGH24H, V2BCH)</t>
    <phoneticPr fontId="2" type="noConversion"/>
  </si>
  <si>
    <t>Encoder 단종으로 인한 변경</t>
    <phoneticPr fontId="2" type="noConversion"/>
  </si>
  <si>
    <t>Check encoder reader LED (RGH24H : Good-Green, V2BCH : Good-Blue)</t>
    <phoneticPr fontId="2" type="noConversion"/>
  </si>
  <si>
    <t>Core Module의 Module No. 및 Revision 번호 기록 삭제</t>
    <phoneticPr fontId="2" type="noConversion"/>
  </si>
  <si>
    <t>Packinglist에 추가됨</t>
    <phoneticPr fontId="2" type="noConversion"/>
  </si>
  <si>
    <t>Check X axis encoder reader LED</t>
    <phoneticPr fontId="2" type="noConversion"/>
  </si>
  <si>
    <t>Check Y axis encoder reader LED</t>
    <phoneticPr fontId="2" type="noConversion"/>
  </si>
  <si>
    <t>Z Stage(Wafer, HDM, PSS, WLI)</t>
    <phoneticPr fontId="2" type="noConversion"/>
  </si>
  <si>
    <t>Focus Stage(Wafer, HDM, PSS, WLI)</t>
    <phoneticPr fontId="2" type="noConversion"/>
  </si>
  <si>
    <t>XY Stage(Wafer, WLI)</t>
    <phoneticPr fontId="2" type="noConversion"/>
  </si>
  <si>
    <t>v3.17.0</t>
    <phoneticPr fontId="2" type="noConversion"/>
  </si>
  <si>
    <t>v3.18.0</t>
    <phoneticPr fontId="2" type="noConversion"/>
  </si>
  <si>
    <t>XY Stage positioning X 1σ (LLC Translation)</t>
    <phoneticPr fontId="2" type="noConversion"/>
  </si>
  <si>
    <t>XY Stage positioning Y 1σ (LLC Translation)</t>
    <phoneticPr fontId="2" type="noConversion"/>
  </si>
  <si>
    <t>Performance(Wafer, HDM, PSS, WLI)</t>
    <phoneticPr fontId="2" type="noConversion"/>
  </si>
  <si>
    <t>%GRR w/ roughness of Precision/Tolerance (P/T) Repeatability</t>
  </si>
  <si>
    <t>%GRR w/ roughness of non-patterened wafer</t>
  </si>
  <si>
    <t>아래 %GRR 3가지 항목 삭제</t>
    <phoneticPr fontId="2" type="noConversion"/>
  </si>
  <si>
    <t>XY Stage positioning X offset (LLC Translation)</t>
  </si>
  <si>
    <t>XY Stage positioning Y offset (LLC Translation)</t>
  </si>
  <si>
    <t>XY Stage positioning X 1σ (LLC Translation)</t>
  </si>
  <si>
    <t>XY Stage positioning Y 1σ (LLC Translation)</t>
  </si>
  <si>
    <t>아래 두 항목에 대한 spec 추가</t>
    <phoneticPr fontId="2" type="noConversion"/>
  </si>
  <si>
    <t>품질개선 24-144</t>
    <phoneticPr fontId="2" type="noConversion"/>
  </si>
  <si>
    <t>XY stage positioning test 中 LLC Translation test spec 관리</t>
    <phoneticPr fontId="2" type="noConversion"/>
  </si>
  <si>
    <t>아래 두 항목에 대한 Check item 추가</t>
    <phoneticPr fontId="2" type="noConversion"/>
  </si>
  <si>
    <t>Ω</t>
    <phoneticPr fontId="2" type="noConversion"/>
  </si>
  <si>
    <t>전원 off 상태에서 Ground 확인/ NX-Wafer ground map Guide 확인</t>
    <phoneticPr fontId="2" type="noConversion"/>
  </si>
  <si>
    <t>Misc(T1)</t>
    <phoneticPr fontId="2" type="noConversion"/>
  </si>
  <si>
    <t>Check Facility Controller connect to A/E Cable holder</t>
  </si>
  <si>
    <t>Check Facility Controller connect to A/E Cable holder</t>
    <phoneticPr fontId="2" type="noConversion"/>
  </si>
  <si>
    <t>Check XY Stage connect to A/E Cable holder</t>
  </si>
  <si>
    <t>Check XY Stage connect to A/E Cable holder</t>
    <phoneticPr fontId="2" type="noConversion"/>
  </si>
  <si>
    <t>Check Focus Stage connect to A/E Cable holder</t>
  </si>
  <si>
    <t>Check Focus Stage connect to A/E Cable holder</t>
    <phoneticPr fontId="2" type="noConversion"/>
  </si>
  <si>
    <t>Check Z Stage connect to A/E Cable holder</t>
  </si>
  <si>
    <t>Check Z Stage connect to A/E Cable holder</t>
    <phoneticPr fontId="2" type="noConversion"/>
  </si>
  <si>
    <t>Check Frame Board connect to A/E Cable holder</t>
  </si>
  <si>
    <t>Check Frame Board connect to A/E Cable holder</t>
    <phoneticPr fontId="2" type="noConversion"/>
  </si>
  <si>
    <t>Misc(PB)</t>
    <phoneticPr fontId="2" type="noConversion"/>
  </si>
  <si>
    <t>Check XY Stage connect to A/E Earth Bar</t>
  </si>
  <si>
    <t>Check XY Stage connect to A/E Earth Bar</t>
    <phoneticPr fontId="2" type="noConversion"/>
  </si>
  <si>
    <t>Check Focus Stage connect to  A/E Earth Bar</t>
  </si>
  <si>
    <t>Check Focus Stage connect to  A/E Earth Bar</t>
    <phoneticPr fontId="2" type="noConversion"/>
  </si>
  <si>
    <t>Check Z Stage connect to  A/E Earth Bar</t>
  </si>
  <si>
    <t>Check Z Stage connect to  A/E Earth Bar</t>
    <phoneticPr fontId="2" type="noConversion"/>
  </si>
  <si>
    <t>Check Frame Board connect to  A/E Earth Bar</t>
  </si>
  <si>
    <t>Check Frame Board connect to  A/E Earth Bar</t>
    <phoneticPr fontId="2" type="noConversion"/>
  </si>
  <si>
    <t>Check XY Scanner connect to A/E Earth Bar</t>
  </si>
  <si>
    <t>Check XY Scanner connect to A/E Earth Bar</t>
    <phoneticPr fontId="2" type="noConversion"/>
  </si>
  <si>
    <t>Check Z Scanner body connect to A/E Earth Bar</t>
  </si>
  <si>
    <t>Check Z Scanner body connect to A/E Earth Bar</t>
    <phoneticPr fontId="2" type="noConversion"/>
  </si>
  <si>
    <t>Check Z Scanner body connect to A/E Cable holder</t>
  </si>
  <si>
    <t>Check Z Scanner body connect to A/E Cable holder</t>
    <phoneticPr fontId="2" type="noConversion"/>
  </si>
  <si>
    <t>Check XY Scanner connect to A/E Cable holder</t>
  </si>
  <si>
    <t>Check XY Scanner connect to A/E Cable holder</t>
    <phoneticPr fontId="2" type="noConversion"/>
  </si>
  <si>
    <t>Check AFM Controller connect to Cabinet Earth Bar</t>
  </si>
  <si>
    <t>Check AFM Controller connect to Cabinet Earth Bar</t>
    <phoneticPr fontId="2" type="noConversion"/>
  </si>
  <si>
    <t>Check Cabinet Earth Bar connect to A/E Earth Bar</t>
  </si>
  <si>
    <t>Check ATX Top plate connect to A/E Earth Bar</t>
  </si>
  <si>
    <t>Check ATX Top plate connect to A/E Earth Bar</t>
    <phoneticPr fontId="2" type="noConversion"/>
  </si>
  <si>
    <t>Check ATX Top plate connect to A/E Cable holder</t>
  </si>
  <si>
    <t>Check ATX Top plate connect to A/E Cable holder</t>
    <phoneticPr fontId="2" type="noConversion"/>
  </si>
  <si>
    <t>T1 경우</t>
    <phoneticPr fontId="2" type="noConversion"/>
  </si>
  <si>
    <r>
      <t>아래 주요 모듈에 대한 Ground 확인 (spec &lt; 0.5</t>
    </r>
    <r>
      <rPr>
        <sz val="10"/>
        <color theme="1"/>
        <rFont val="Calibri"/>
        <family val="3"/>
        <charset val="161"/>
      </rPr>
      <t>Ω</t>
    </r>
    <r>
      <rPr>
        <sz val="10"/>
        <color theme="1"/>
        <rFont val="맑은 고딕"/>
        <family val="3"/>
        <charset val="129"/>
        <scheme val="minor"/>
      </rPr>
      <t>)</t>
    </r>
    <phoneticPr fontId="2" type="noConversion"/>
  </si>
  <si>
    <t>PB 경우</t>
    <phoneticPr fontId="2" type="noConversion"/>
  </si>
  <si>
    <t>NX-Wafer Ground map 추가</t>
    <phoneticPr fontId="2" type="noConversion"/>
  </si>
  <si>
    <t>Performance(Mask)</t>
    <phoneticPr fontId="2" type="noConversion"/>
  </si>
  <si>
    <t>Z-XY Orthogonality (X direction-Right)</t>
  </si>
  <si>
    <t>Z-XY Orthogonality (Y direction-Right)</t>
  </si>
  <si>
    <t>Z-XY Orthogonality (X direction-Left)</t>
  </si>
  <si>
    <t>Z-XY Orthogonality (Y direction-Left)</t>
  </si>
  <si>
    <t>Recipe(11.Mask - 01.TSH - TSH_Z-XY Orthogonality) 의 TGF11 Pameter 사용하여 10번 Repeat후 해당 Method로 Analysis 진행한 값 분석시트에 기입</t>
    <phoneticPr fontId="2" type="noConversion"/>
  </si>
  <si>
    <t>[MC] NX-Wafer Ground Map Guide 참고</t>
    <phoneticPr fontId="2" type="noConversion"/>
  </si>
  <si>
    <t>Check the Enable Grip EMO switch function test</t>
  </si>
  <si>
    <t>Check the Enable Grip EMO switch function test</t>
    <phoneticPr fontId="2" type="noConversion"/>
  </si>
  <si>
    <t>Check the Cabinet Rear EMO switch function test</t>
  </si>
  <si>
    <t>Check the Cabinet Rear EMO switch function test</t>
    <phoneticPr fontId="2" type="noConversion"/>
  </si>
  <si>
    <t>Check the Cabinet Plate EMO switch function test</t>
  </si>
  <si>
    <t>Check the Cabinet Plate EMO switch function test</t>
    <phoneticPr fontId="2" type="noConversion"/>
  </si>
  <si>
    <t>Check the Cabinet Right EMO switch function test</t>
  </si>
  <si>
    <t>Check the Cabinet Right EMO switch function test</t>
    <phoneticPr fontId="2" type="noConversion"/>
  </si>
  <si>
    <t>Check the EFEM EMO-1 switch function test</t>
  </si>
  <si>
    <t>Check the EFEM EMO-1 switch function test</t>
    <phoneticPr fontId="2" type="noConversion"/>
  </si>
  <si>
    <t>Check the EFEM EMO-2 switch function test</t>
  </si>
  <si>
    <t>Check the EFEM EMO-2 switch function test</t>
    <phoneticPr fontId="2" type="noConversion"/>
  </si>
  <si>
    <t>Check the EFEM EMO-3 switch function test</t>
  </si>
  <si>
    <t>Check the Cabinet Front Sub Box EMO switch function test</t>
  </si>
  <si>
    <t>Check the Cabinet Front Sub Box EMO switch function test</t>
    <phoneticPr fontId="2" type="noConversion"/>
  </si>
  <si>
    <t>Check the EFEM EMO switches function test</t>
  </si>
  <si>
    <t>Check the EFEM EMO switches function test</t>
    <phoneticPr fontId="2" type="noConversion"/>
  </si>
  <si>
    <t>Check the Cabinet EMO switches function test</t>
  </si>
  <si>
    <t>Check the Cabinet EMO switches function test</t>
    <phoneticPr fontId="2" type="noConversion"/>
  </si>
  <si>
    <t>EMO Alarm 이미지 저장, Cabinet EMO Switch 위치 2군데 (Cabinet 오른쪽, Cabinet 안쪽)</t>
    <phoneticPr fontId="2" type="noConversion"/>
  </si>
  <si>
    <t>EMO Alarm 이미지 저장, EFEM EMO Switch 위치 3군데 (Teaching pendant, EFEM Front, EFEM Monitor 쪽)</t>
    <phoneticPr fontId="2" type="noConversion"/>
  </si>
  <si>
    <t>v3.19.0</t>
    <phoneticPr fontId="2" type="noConversion"/>
  </si>
  <si>
    <t>Facility Controller(PB)</t>
  </si>
  <si>
    <t>EMO 위치별 동작 여부 확인 세분화 (기존에 All EMO Switches 확인으로 되어있던 항목을 세부적으로 나눔)</t>
    <phoneticPr fontId="2" type="noConversion"/>
  </si>
  <si>
    <t xml:space="preserve">품질개선 24-159 </t>
    <phoneticPr fontId="2" type="noConversion"/>
  </si>
  <si>
    <t>Enable Grip EMO Switch 문제 개선 건</t>
    <phoneticPr fontId="2" type="noConversion"/>
  </si>
  <si>
    <t>v.3.18.1</t>
    <phoneticPr fontId="2" type="noConversion"/>
  </si>
  <si>
    <t>Computer model 명 추가 (Z4G5)</t>
    <phoneticPr fontId="2" type="noConversion"/>
  </si>
  <si>
    <t>Roughness Repeatability 1x1um(10Repeats, RSD%)</t>
  </si>
  <si>
    <t>Roughness Repeatability 80x80um(10Repeats, RSD%)</t>
  </si>
  <si>
    <t>Tip이나 Sample focus 후 1. Light Strength100%(Capture) 2. Light strength 0%(Capture) (Contrast 50%, Brightness는 50%)</t>
    <phoneticPr fontId="2" type="noConversion"/>
  </si>
  <si>
    <t>Check the Cabinet EMO switch function test</t>
    <phoneticPr fontId="2" type="noConversion"/>
  </si>
  <si>
    <t>Facility Controller(T1/T2)</t>
    <phoneticPr fontId="2" type="noConversion"/>
  </si>
  <si>
    <t>품질개선 24-160</t>
    <phoneticPr fontId="2" type="noConversion"/>
  </si>
  <si>
    <t>산업, 연구장비 Roughness Test Checklist 추가 요청 건</t>
    <phoneticPr fontId="2" type="noConversion"/>
  </si>
  <si>
    <t>Check the regulator vacuum pressure</t>
    <phoneticPr fontId="2" type="noConversion"/>
  </si>
  <si>
    <t>Cabinet에 있는 Regulator vacuum 압력 확인</t>
    <phoneticPr fontId="2" type="noConversion"/>
  </si>
  <si>
    <t>Check encoder surface is clean</t>
    <phoneticPr fontId="2" type="noConversion"/>
  </si>
  <si>
    <t>Z Stage</t>
  </si>
  <si>
    <t>Check if the SID on the EFEM QA report matches the SID on the equipment nameplate</t>
    <phoneticPr fontId="2" type="noConversion"/>
  </si>
  <si>
    <t>EFEM 업체 QA 리포트의 SID와 실제 장비의 명판 SID와 같은지 확인</t>
    <phoneticPr fontId="2" type="noConversion"/>
  </si>
  <si>
    <t>SW Limit 설정 후 Focus 맨위/맨아래 쪽에서 Reset 진행시 정상동작 여부 확인</t>
    <phoneticPr fontId="2" type="noConversion"/>
  </si>
  <si>
    <t>SW Limit 설정 후 Z Stage 맨위/맨아래 쪽에서 Reset 진행시 정상동작 여부 확인</t>
    <phoneticPr fontId="2" type="noConversion"/>
  </si>
  <si>
    <t>SW Limit 설정 후 XY Stage 상/하/좌/우 끝쪽에서 Reset 진행시 정상동작 여부 확인</t>
    <phoneticPr fontId="2" type="noConversion"/>
  </si>
  <si>
    <t>Check the i-marking on the encoder bracket mounting bolts</t>
    <phoneticPr fontId="2" type="noConversion"/>
  </si>
  <si>
    <t xml:space="preserve">전체 전원 Off 후 10분뒤 전원 On - 마우스,키보드 등 동작 이상없는지 확인 </t>
    <phoneticPr fontId="2" type="noConversion"/>
  </si>
  <si>
    <t>Check if the mouse and keyboard are functioning properly after turning off the power and then turning it back on</t>
    <phoneticPr fontId="2" type="noConversion"/>
  </si>
  <si>
    <t xml:space="preserve">Check the warranty sticker </t>
    <phoneticPr fontId="2" type="noConversion"/>
  </si>
  <si>
    <t>EFEM</t>
  </si>
  <si>
    <t>Check if the SID on the EFEM QA report matches the SID on the equipment nameplate</t>
  </si>
  <si>
    <t>품질개선 24-165</t>
    <phoneticPr fontId="2" type="noConversion"/>
  </si>
  <si>
    <t>Check the regulator vacuum pressure</t>
  </si>
  <si>
    <t>Focus Stage</t>
  </si>
  <si>
    <t>Check the i-marking on the encoder bracket mounting bolts</t>
  </si>
  <si>
    <t>Misc</t>
  </si>
  <si>
    <t>Check if the mouse and keyboard are functioning properly after turning off the power and then turning it back on</t>
  </si>
  <si>
    <t xml:space="preserve">Check the warranty sticker </t>
  </si>
  <si>
    <t>Check for interference between the Z and F encoder brackets at the Z stage hardware limit position.</t>
  </si>
  <si>
    <t>Z Stage(WLI)</t>
    <phoneticPr fontId="2" type="noConversion"/>
  </si>
  <si>
    <t>Focus Stage(Mask/TSH)</t>
    <phoneticPr fontId="2" type="noConversion"/>
  </si>
  <si>
    <t>Check for interface between the focus stage and head cover when lowering the focus stage</t>
  </si>
  <si>
    <t>degree</t>
  </si>
  <si>
    <t>X axis, Repeatability @1st position</t>
  </si>
  <si>
    <t>X axis, Repeatability @ 2nd position</t>
  </si>
  <si>
    <t>X axis, Repeatability @ 3rd position</t>
  </si>
  <si>
    <t>X axis, Repeatability @ 4th position</t>
  </si>
  <si>
    <t>X axis, Accuracy @1st position</t>
  </si>
  <si>
    <t>X axis, Accuracy @ 2nd position</t>
  </si>
  <si>
    <t>X axis, Accuracy @ 3rd position</t>
  </si>
  <si>
    <t>X axis, Accuracy @ 4th position</t>
  </si>
  <si>
    <t>Y axis, Repeatability @1st position</t>
  </si>
  <si>
    <t>Y axis, Repeatability @ 2nd position</t>
  </si>
  <si>
    <t>Y axis, Repeatability @ 3rd position</t>
  </si>
  <si>
    <t>Y axis, Repeatability @ 4th position</t>
  </si>
  <si>
    <t>Y axis, Accuracy @1st position</t>
  </si>
  <si>
    <t>Y axis, Accuracy @ 2nd position</t>
  </si>
  <si>
    <t>Y axis, Accuracy @ 3rd position</t>
  </si>
  <si>
    <t>Y axis, Accuracy @ 4th position</t>
  </si>
  <si>
    <t>GT2450C : 1830, Mako G-507C : 1828</t>
    <phoneticPr fontId="2" type="noConversion"/>
  </si>
  <si>
    <t xml:space="preserve">Camera maker </t>
    <phoneticPr fontId="2" type="noConversion"/>
  </si>
  <si>
    <t>FullPixelHeight 값 추가(1828) : Mako G-507C 추가로 인한 Pixel값 추가</t>
    <phoneticPr fontId="2" type="noConversion"/>
  </si>
  <si>
    <t xml:space="preserve">Camera model 명 추가(Mako G-507C) </t>
    <phoneticPr fontId="2" type="noConversion"/>
  </si>
  <si>
    <t>MS-office product key (MS Office 365 포함 중단으로 인해 포함 유/무 선택할 수 있도록 변경)</t>
    <phoneticPr fontId="2" type="noConversion"/>
  </si>
  <si>
    <t>Head Crash DB setting: A+B Interlock</t>
  </si>
  <si>
    <t>Head Crash DB setting: A+B Interlock</t>
    <phoneticPr fontId="2" type="noConversion"/>
  </si>
  <si>
    <t>Head Crash DB setting: A-B Interlock</t>
  </si>
  <si>
    <t>Head Crash DB setting: A-B Interlock</t>
    <phoneticPr fontId="2" type="noConversion"/>
  </si>
  <si>
    <t>Head Crash DB setting: Z Detector Interlock</t>
  </si>
  <si>
    <t>Head Crash DB setting: Z Detector Interlock</t>
    <phoneticPr fontId="2" type="noConversion"/>
  </si>
  <si>
    <t>Head Crash DB setting: XY Stage Interlock</t>
  </si>
  <si>
    <t>Head Crash DB setting: XY Stage Interlock</t>
    <phoneticPr fontId="2" type="noConversion"/>
  </si>
  <si>
    <t>DB: DSP&gt;Cantilever&gt;MinimalIntensity (Cantiliver: AC160TS)</t>
    <phoneticPr fontId="2" type="noConversion"/>
  </si>
  <si>
    <t>DB: DSP&gt;Cantilever&gt;SafeErrorSignal (Cantiliver: AC160TS)</t>
    <phoneticPr fontId="2" type="noConversion"/>
  </si>
  <si>
    <t>DB: DSP/ZStage/HeadCrashThreshold</t>
    <phoneticPr fontId="2" type="noConversion"/>
  </si>
  <si>
    <t>DB: XYStage/Info/bUseInterlock</t>
    <phoneticPr fontId="2" type="noConversion"/>
  </si>
  <si>
    <t>Check the i-marking on the XY stage mounting bolts</t>
  </si>
  <si>
    <t>XY Stage(Wafer,HDM,PSS, WLI, Mask)</t>
    <phoneticPr fontId="2" type="noConversion"/>
  </si>
  <si>
    <t>Check the pneumatic controller sensor settings (Nomal state : Green)</t>
  </si>
  <si>
    <t>Facility Controller(Wafer,HDM,PSS, WLI, Mask)</t>
    <phoneticPr fontId="2" type="noConversion"/>
  </si>
  <si>
    <t>Check if the cable holders are installed on both the AE and the Cabinet</t>
  </si>
  <si>
    <t>Smoke Detector</t>
    <phoneticPr fontId="2" type="noConversion"/>
  </si>
  <si>
    <t>Check the smoke detector setting</t>
  </si>
  <si>
    <t>Check the AE FFU cleaning</t>
  </si>
  <si>
    <t>Check the fixation of Cognex dongle cable on the rear of the PC</t>
  </si>
  <si>
    <t>Check the jig bolts for the computer</t>
  </si>
  <si>
    <t>산업용 Checklist에 QC Checklist 항목 반영 (총20가지)</t>
    <phoneticPr fontId="2" type="noConversion"/>
  </si>
  <si>
    <t>NX-TSH600, NX-TSH1518, NX-TSH2326 추가</t>
    <phoneticPr fontId="2" type="noConversion"/>
  </si>
  <si>
    <t>Misc(Wafer,WLI,Mask)</t>
    <phoneticPr fontId="2" type="noConversion"/>
  </si>
  <si>
    <t>Z Stage material</t>
    <phoneticPr fontId="2" type="noConversion"/>
  </si>
  <si>
    <t>Z Stage 재질변경</t>
    <phoneticPr fontId="2" type="noConversion"/>
  </si>
  <si>
    <t>OS(Operating System) type(Window11 추가)</t>
    <phoneticPr fontId="2" type="noConversion"/>
  </si>
  <si>
    <t>Windows version(24H2 추가)</t>
    <phoneticPr fontId="2" type="noConversion"/>
  </si>
  <si>
    <r>
      <t>Check Z Scanner body connect to A/E Earth Bar (0.5</t>
    </r>
    <r>
      <rPr>
        <sz val="10"/>
        <color theme="1"/>
        <rFont val="Calibri"/>
        <family val="3"/>
        <charset val="161"/>
      </rPr>
      <t>Ω</t>
    </r>
    <r>
      <rPr>
        <sz val="10"/>
        <color theme="1"/>
        <rFont val="맑은 고딕"/>
        <family val="3"/>
        <charset val="129"/>
        <scheme val="minor"/>
      </rPr>
      <t xml:space="preserve"> -&gt;1</t>
    </r>
    <r>
      <rPr>
        <sz val="10"/>
        <color theme="1"/>
        <rFont val="Calibri"/>
        <family val="3"/>
        <charset val="161"/>
      </rPr>
      <t>Ω</t>
    </r>
    <r>
      <rPr>
        <sz val="10"/>
        <color theme="1"/>
        <rFont val="맑은 고딕"/>
        <family val="3"/>
        <charset val="129"/>
        <scheme val="minor"/>
      </rPr>
      <t>)</t>
    </r>
    <phoneticPr fontId="2" type="noConversion"/>
  </si>
  <si>
    <r>
      <t>Check Focus Stage connect to  A/E Earth Bar(0.5</t>
    </r>
    <r>
      <rPr>
        <sz val="10"/>
        <color theme="1"/>
        <rFont val="Calibri"/>
        <family val="3"/>
        <charset val="161"/>
      </rPr>
      <t>Ω</t>
    </r>
    <r>
      <rPr>
        <sz val="10"/>
        <color theme="1"/>
        <rFont val="맑은 고딕"/>
        <family val="3"/>
        <charset val="129"/>
        <scheme val="minor"/>
      </rPr>
      <t xml:space="preserve"> -&gt;1</t>
    </r>
    <r>
      <rPr>
        <sz val="10"/>
        <color theme="1"/>
        <rFont val="Calibri"/>
        <family val="3"/>
        <charset val="161"/>
      </rPr>
      <t>Ω</t>
    </r>
    <r>
      <rPr>
        <sz val="10"/>
        <color theme="1"/>
        <rFont val="맑은 고딕"/>
        <family val="3"/>
        <charset val="129"/>
        <scheme val="minor"/>
      </rPr>
      <t>)</t>
    </r>
    <phoneticPr fontId="2" type="noConversion"/>
  </si>
  <si>
    <t>v3.20.0</t>
    <phoneticPr fontId="2" type="noConversion"/>
  </si>
  <si>
    <t>Window OS 선택하면 Version 알아서 바뀜, window10 -&gt; 22h2, window11 -&gt; 24h2</t>
    <phoneticPr fontId="2" type="noConversion"/>
  </si>
  <si>
    <t>중국향 장비는 Install, 아닌경우 NA</t>
    <phoneticPr fontId="2" type="noConversion"/>
  </si>
  <si>
    <t>NCMDriveRangeLiquidMode</t>
    <phoneticPr fontId="2" type="noConversion"/>
  </si>
  <si>
    <t>bDisableNCMDriveReduction</t>
    <phoneticPr fontId="2" type="noConversion"/>
  </si>
  <si>
    <t>Dsp/Info/NCMDriveRangeLiquidMode=1</t>
    <phoneticPr fontId="2" type="noConversion"/>
  </si>
  <si>
    <t>Dsp/Info/bDisableNCMDriveReduction=1</t>
    <phoneticPr fontId="2" type="noConversion"/>
  </si>
  <si>
    <t>NCMDriveRangeLiquidMode =1</t>
    <phoneticPr fontId="2" type="noConversion"/>
  </si>
  <si>
    <t>bDisableNCMDriveReduction =1</t>
    <phoneticPr fontId="2" type="noConversion"/>
  </si>
  <si>
    <t>품질개선25-021, 24-071(TSB)</t>
    <phoneticPr fontId="2" type="noConversion"/>
  </si>
  <si>
    <t>MS-office product key 삭제</t>
    <phoneticPr fontId="2" type="noConversion"/>
  </si>
  <si>
    <t>24-044(TSB) : MS Office -&gt;Libre Office로 변경</t>
    <phoneticPr fontId="2" type="noConversion"/>
  </si>
  <si>
    <t>EMO cover : Cover -&gt; Installed</t>
    <phoneticPr fontId="2" type="noConversion"/>
  </si>
  <si>
    <t>Misc(Wafer)</t>
    <phoneticPr fontId="2" type="noConversion"/>
  </si>
  <si>
    <t>품질개선25-014, 인쇄시 시인성 향상</t>
    <phoneticPr fontId="2" type="noConversion"/>
  </si>
  <si>
    <t>인쇄 양식 변경</t>
    <phoneticPr fontId="2" type="noConversion"/>
  </si>
  <si>
    <t>eAFM</t>
  </si>
  <si>
    <t>eAFM(Wafer)</t>
    <phoneticPr fontId="2" type="noConversion"/>
  </si>
  <si>
    <t>eAFM 초도 완료건</t>
    <phoneticPr fontId="2" type="noConversion"/>
  </si>
  <si>
    <t>Check add eAFM Mode to Head Mode</t>
  </si>
  <si>
    <t>EFM&amp;C-AFM Tip Initialization sample (HOPG, Gold Tip 2ea)</t>
  </si>
  <si>
    <t>CDT-FMR, 12M</t>
  </si>
  <si>
    <t xml:space="preserve">NCM driving% with AC160TS cantilever spec. 변경 1~50% -&gt; 0.1~50%, Amplitude 20nm </t>
    <phoneticPr fontId="2" type="noConversion"/>
  </si>
  <si>
    <t>eAFM(Conductive AFM)</t>
  </si>
  <si>
    <t>eAFM(Conductive AFM) (Wafer)</t>
    <phoneticPr fontId="2" type="noConversion"/>
  </si>
  <si>
    <t>Maximum value of current signal at 106 V/A (10V, Sample Bias)</t>
  </si>
  <si>
    <t>Maximum value of current signal at 109 V/A (100mV, Sample Bias)</t>
  </si>
  <si>
    <t>Resistance value of 10MΩ</t>
  </si>
  <si>
    <t>Save Conductive AFM Image (Cobalt-Doped Iron Oxide Sample)</t>
  </si>
  <si>
    <t>eAFM(EFM) (Wafer)</t>
    <phoneticPr fontId="2" type="noConversion"/>
  </si>
  <si>
    <t>Check if EFM amplitude shows the magnitude of electrical signal</t>
  </si>
  <si>
    <t>Check if the EFM phase shows 180° phase difference for the positive and negative bias</t>
  </si>
  <si>
    <t>EFM Phase : For the positive bias</t>
  </si>
  <si>
    <t>EFM Phase : For the negative bias</t>
  </si>
  <si>
    <t>Lock-In configuration : Input channel</t>
  </si>
  <si>
    <t>Lock-In configuration : Phase</t>
  </si>
  <si>
    <t>Lock-In configuration : Time constant</t>
  </si>
  <si>
    <t>Lock-In configuration : Sensitivity</t>
  </si>
  <si>
    <t>Lock-In configuration : Filter order</t>
  </si>
  <si>
    <t>Modulator Configuration : Output signal</t>
  </si>
  <si>
    <t>Modulator Configuration : Frequency</t>
  </si>
  <si>
    <t>Modulator Configuration : Drive</t>
  </si>
  <si>
    <t>Save EFM Image (EFM Stripe-patterned Surface Sample)</t>
  </si>
  <si>
    <t>eAFM(Tip Initializer)</t>
  </si>
  <si>
    <t xml:space="preserve">Tip Initializer DB setting : TipInitialiizerSupport </t>
  </si>
  <si>
    <t>Tip Initializer stage position teach / XEA (EFM)</t>
  </si>
  <si>
    <t>Tip Initializer stage position teach / XEA (DC C-AFM)</t>
  </si>
  <si>
    <t>Tip Initializer stage position teach / XEA (AC C-AFM)</t>
  </si>
  <si>
    <t>Tip Initializer auto focus teach / XEA</t>
  </si>
  <si>
    <t>Check the Run Tip Initializer (EFM, Step1) / XEA</t>
  </si>
  <si>
    <t>Check the Run Tip Initializer (EFM, Step2) / XEA</t>
  </si>
  <si>
    <t>Check the Run Tip Initializer (DC, C-AFM) / XEA</t>
  </si>
  <si>
    <t>Check the Run Tip Initializer (AC, C-AFM) / XEA</t>
  </si>
  <si>
    <t>아래 6건 Check Item 추가</t>
    <phoneticPr fontId="2" type="noConversion"/>
  </si>
  <si>
    <t>아래 9건 Check item 추가</t>
    <phoneticPr fontId="2" type="noConversion"/>
  </si>
  <si>
    <t>아래 13건 Check Item 추가</t>
    <phoneticPr fontId="2" type="noConversion"/>
  </si>
  <si>
    <t>아래 9건 Check Item 추가</t>
    <phoneticPr fontId="2" type="noConversion"/>
  </si>
  <si>
    <t>V/A</t>
  </si>
  <si>
    <t>0x6E450421</t>
  </si>
  <si>
    <t>Included</t>
  </si>
  <si>
    <t>eAFM(EFM)</t>
  </si>
  <si>
    <t>Vertical(A-B)</t>
  </si>
  <si>
    <t>msec</t>
  </si>
  <si>
    <t>2nd Order</t>
  </si>
  <si>
    <t>Tip Bias</t>
  </si>
  <si>
    <t>kHz</t>
  </si>
  <si>
    <t xml:space="preserve"> 1) Maximum value of current signal at 106 V/A</t>
  </si>
  <si>
    <t xml:space="preserve"> 2) Maximum value of current signal at 109 V/A</t>
  </si>
  <si>
    <t>아래 13건 Check Item 삭제</t>
    <phoneticPr fontId="2" type="noConversion"/>
  </si>
  <si>
    <t>-</t>
    <phoneticPr fontId="2" type="noConversion"/>
  </si>
  <si>
    <r>
      <t>(</t>
    </r>
    <r>
      <rPr>
        <sz val="15"/>
        <rFont val="맑은 고딕"/>
        <family val="3"/>
        <charset val="129"/>
      </rPr>
      <t>선택</t>
    </r>
    <r>
      <rPr>
        <sz val="15"/>
        <rFont val="Arial"/>
        <family val="2"/>
      </rPr>
      <t>)</t>
    </r>
  </si>
  <si>
    <r>
      <t xml:space="preserve">Long head(2%) : Z scannner position </t>
    </r>
    <r>
      <rPr>
        <b/>
        <sz val="15"/>
        <color theme="1"/>
        <rFont val="맑은 고딕"/>
        <family val="3"/>
        <charset val="129"/>
        <scheme val="minor"/>
      </rPr>
      <t>-6,0,+6</t>
    </r>
    <r>
      <rPr>
        <sz val="15"/>
        <color theme="1"/>
        <rFont val="맑은 고딕"/>
        <family val="3"/>
        <charset val="129"/>
        <scheme val="minor"/>
      </rPr>
      <t xml:space="preserve">, Standard head(2%) : Z scannner position </t>
    </r>
    <r>
      <rPr>
        <b/>
        <sz val="15"/>
        <color theme="1"/>
        <rFont val="맑은 고딕"/>
        <family val="3"/>
        <charset val="129"/>
        <scheme val="minor"/>
      </rPr>
      <t>-3,0,+3</t>
    </r>
    <phoneticPr fontId="2" type="noConversion"/>
  </si>
  <si>
    <r>
      <rPr>
        <sz val="15"/>
        <rFont val="Arial"/>
        <family val="2"/>
      </rPr>
      <t>A</t>
    </r>
    <r>
      <rPr>
        <sz val="15"/>
        <rFont val="맑은 고딕"/>
        <family val="3"/>
        <charset val="129"/>
      </rPr>
      <t>＋</t>
    </r>
    <r>
      <rPr>
        <sz val="15"/>
        <rFont val="Arial"/>
        <family val="2"/>
      </rPr>
      <t>B</t>
    </r>
    <r>
      <rPr>
        <sz val="15"/>
        <color theme="1"/>
        <rFont val="Arial"/>
        <family val="2"/>
      </rPr>
      <t xml:space="preserve"> difference during 3 times run test </t>
    </r>
    <phoneticPr fontId="2" type="noConversion"/>
  </si>
  <si>
    <r>
      <rPr>
        <sz val="15"/>
        <rFont val="Arial"/>
        <family val="2"/>
      </rPr>
      <t>A</t>
    </r>
    <r>
      <rPr>
        <sz val="15"/>
        <rFont val="맑은 고딕"/>
        <family val="3"/>
        <charset val="129"/>
      </rPr>
      <t>－</t>
    </r>
    <r>
      <rPr>
        <sz val="15"/>
        <rFont val="Arial"/>
        <family val="2"/>
      </rPr>
      <t>B</t>
    </r>
    <r>
      <rPr>
        <sz val="15"/>
        <color theme="1"/>
        <rFont val="Arial"/>
        <family val="2"/>
      </rPr>
      <t xml:space="preserve"> difference during 3 times run test </t>
    </r>
    <phoneticPr fontId="2" type="noConversion"/>
  </si>
  <si>
    <r>
      <t>10</t>
    </r>
    <r>
      <rPr>
        <vertAlign val="superscript"/>
        <sz val="15"/>
        <color rgb="FF000000"/>
        <rFont val="Arial"/>
        <family val="2"/>
        <charset val="1"/>
      </rPr>
      <t>6</t>
    </r>
    <r>
      <rPr>
        <sz val="15"/>
        <color rgb="FF000000"/>
        <rFont val="Arial"/>
        <family val="2"/>
        <charset val="1"/>
      </rPr>
      <t xml:space="preserve"> to 10</t>
    </r>
    <r>
      <rPr>
        <vertAlign val="superscript"/>
        <sz val="15"/>
        <color rgb="FF000000"/>
        <rFont val="Arial"/>
        <family val="2"/>
        <charset val="1"/>
      </rPr>
      <t>9</t>
    </r>
  </si>
  <si>
    <r>
      <t>Maximum value of current signal at 10</t>
    </r>
    <r>
      <rPr>
        <vertAlign val="superscript"/>
        <sz val="15"/>
        <color rgb="FF000000"/>
        <rFont val="Arial"/>
        <family val="2"/>
        <charset val="1"/>
      </rPr>
      <t>6</t>
    </r>
    <r>
      <rPr>
        <sz val="15"/>
        <color rgb="FF000000"/>
        <rFont val="Arial"/>
        <family val="2"/>
        <charset val="1"/>
      </rPr>
      <t xml:space="preserve"> V/A (10V, Sample Bias)</t>
    </r>
  </si>
  <si>
    <r>
      <t>Maximum value of current signal at 10</t>
    </r>
    <r>
      <rPr>
        <vertAlign val="superscript"/>
        <sz val="15"/>
        <color rgb="FF000000"/>
        <rFont val="Arial"/>
        <family val="2"/>
        <charset val="1"/>
      </rPr>
      <t>9</t>
    </r>
    <r>
      <rPr>
        <sz val="15"/>
        <color rgb="FF000000"/>
        <rFont val="Arial"/>
        <family val="2"/>
        <charset val="1"/>
      </rPr>
      <t xml:space="preserve"> V/A (100mV, Sample Bias)</t>
    </r>
  </si>
  <si>
    <r>
      <t>AFP Repeatability 프로그램을 이용해 분석하여 Rep. 1</t>
    </r>
    <r>
      <rPr>
        <sz val="15"/>
        <rFont val="Calibri"/>
        <family val="3"/>
        <charset val="161"/>
      </rPr>
      <t>σ</t>
    </r>
    <r>
      <rPr>
        <sz val="15"/>
        <rFont val="맑은 고딕"/>
        <family val="3"/>
        <charset val="129"/>
        <scheme val="minor"/>
      </rPr>
      <t xml:space="preserve"> 기입 (일체형은 Center값, 분리형은 Total RMS 값 기입)</t>
    </r>
    <phoneticPr fontId="2" type="noConversion"/>
  </si>
  <si>
    <r>
      <t>|StrokeXMax|+|StrokeXMin|</t>
    </r>
    <r>
      <rPr>
        <sz val="15"/>
        <rFont val="맑은 고딕"/>
        <family val="3"/>
        <charset val="129"/>
      </rPr>
      <t>≥</t>
    </r>
    <r>
      <rPr>
        <sz val="15"/>
        <rFont val="Arial"/>
        <family val="2"/>
      </rPr>
      <t>275000um</t>
    </r>
    <phoneticPr fontId="2" type="noConversion"/>
  </si>
  <si>
    <r>
      <t>|StrokeYMax|+|StrokeYMin|</t>
    </r>
    <r>
      <rPr>
        <sz val="15"/>
        <rFont val="맑은 고딕"/>
        <family val="3"/>
        <charset val="129"/>
      </rPr>
      <t>≥</t>
    </r>
    <r>
      <rPr>
        <sz val="15"/>
        <rFont val="Arial"/>
        <family val="2"/>
      </rPr>
      <t>200000um</t>
    </r>
    <phoneticPr fontId="2" type="noConversion"/>
  </si>
  <si>
    <r>
      <t>|StrokeYMax|+|StrokeYMin|</t>
    </r>
    <r>
      <rPr>
        <sz val="15"/>
        <rFont val="맑은 고딕"/>
        <family val="3"/>
        <charset val="129"/>
      </rPr>
      <t>≥</t>
    </r>
    <r>
      <rPr>
        <sz val="15"/>
        <rFont val="Arial"/>
        <family val="2"/>
      </rPr>
      <t>300000um</t>
    </r>
    <phoneticPr fontId="2" type="noConversion"/>
  </si>
  <si>
    <r>
      <t>|StrokeXMax|+|StrokeXMin|</t>
    </r>
    <r>
      <rPr>
        <sz val="15"/>
        <rFont val="맑은 고딕"/>
        <family val="3"/>
        <charset val="129"/>
      </rPr>
      <t>≥</t>
    </r>
    <r>
      <rPr>
        <sz val="15"/>
        <rFont val="Arial"/>
        <family val="2"/>
      </rPr>
      <t>400000um</t>
    </r>
    <phoneticPr fontId="2" type="noConversion"/>
  </si>
  <si>
    <r>
      <t>|StageSafetyXMax|+|StageSafetyXMin|</t>
    </r>
    <r>
      <rPr>
        <sz val="15"/>
        <color theme="1"/>
        <rFont val="맑은 고딕"/>
        <family val="3"/>
        <charset val="129"/>
      </rPr>
      <t>≥</t>
    </r>
    <r>
      <rPr>
        <sz val="15"/>
        <color theme="1"/>
        <rFont val="Arial"/>
        <family val="2"/>
      </rPr>
      <t>200000um</t>
    </r>
    <phoneticPr fontId="2" type="noConversion"/>
  </si>
  <si>
    <r>
      <t>|StageSafetyXMax|+|StageSafetyXMin|</t>
    </r>
    <r>
      <rPr>
        <sz val="15"/>
        <color theme="1"/>
        <rFont val="맑은 고딕"/>
        <family val="3"/>
        <charset val="129"/>
      </rPr>
      <t>≥</t>
    </r>
    <r>
      <rPr>
        <sz val="15"/>
        <color theme="1"/>
        <rFont val="Arial"/>
        <family val="2"/>
      </rPr>
      <t>300000um</t>
    </r>
    <phoneticPr fontId="2" type="noConversion"/>
  </si>
  <si>
    <r>
      <t>Zeroscan recipe와 함께 측정되게 변경(v3.13.0),</t>
    </r>
    <r>
      <rPr>
        <b/>
        <sz val="15"/>
        <color theme="1"/>
        <rFont val="맑은 고딕"/>
        <family val="3"/>
        <charset val="129"/>
        <scheme val="minor"/>
      </rPr>
      <t xml:space="preserve"> ZeroScan_Zdrift Recipe 사용</t>
    </r>
    <phoneticPr fontId="2" type="noConversion"/>
  </si>
  <si>
    <t>Z Height calibration value in Large Mode 
(MicrometerPerAdcHigh in ZDetector DB)</t>
    <phoneticPr fontId="2" type="noConversion"/>
  </si>
  <si>
    <t>Z Drive calibration value in Large Mode 
(MicrometerPerDacHigh in ZScanner DB)</t>
    <phoneticPr fontId="2" type="noConversion"/>
  </si>
  <si>
    <t>Z Height calibration value in Small Mode 
(MicrometerPerAdcLow in ZDetector DB)</t>
    <phoneticPr fontId="2" type="noConversion"/>
  </si>
  <si>
    <t>Z Drive calibration value in Small Mode 
(MicrometerPerDacLow in ZScanner DB)</t>
    <phoneticPr fontId="2" type="noConversion"/>
  </si>
  <si>
    <t>Check LED lighting of FEM when switching modes 
(C-AFM, On / EFM, Off)</t>
    <phoneticPr fontId="2" type="noConversion"/>
  </si>
  <si>
    <t>Check the Bias Voltage 
(SampleChuck, EFM&amp;C-AFM Tip Initialization sample at Sample Holder)</t>
    <phoneticPr fontId="2" type="noConversion"/>
  </si>
  <si>
    <t>Check AVIS controller enable w/o red LED flashing 
(While XY stage stopped)</t>
    <phoneticPr fontId="2" type="noConversion"/>
  </si>
  <si>
    <t xml:space="preserve">Swtich box lamp color
(Power On = Green, Power Off = Black, Reset=Blue) </t>
    <phoneticPr fontId="2" type="noConversion"/>
  </si>
  <si>
    <t>Closed loop scanning range 
(ServoScanRangeMicrometer in X/YScanner DB)</t>
    <phoneticPr fontId="2" type="noConversion"/>
  </si>
  <si>
    <t>Check the specification of the nameplate 
(Refer to the drawing of layout and facility)</t>
    <phoneticPr fontId="2" type="noConversion"/>
  </si>
  <si>
    <t>Roughness Repeatability 1x1um(RSD%)</t>
    <phoneticPr fontId="2" type="noConversion"/>
  </si>
  <si>
    <t>Roughness Repeatability 1x1um(1σ)</t>
    <phoneticPr fontId="2" type="noConversion"/>
  </si>
  <si>
    <t>nm</t>
    <phoneticPr fontId="2" type="noConversion"/>
  </si>
  <si>
    <t>-</t>
    <phoneticPr fontId="2" type="noConversion"/>
  </si>
  <si>
    <t>Roughness Repeatability 80x80um(RSD%)</t>
    <phoneticPr fontId="2" type="noConversion"/>
  </si>
  <si>
    <t>Roughness Repeatability 80x80um(1σ)</t>
    <phoneticPr fontId="2" type="noConversion"/>
  </si>
  <si>
    <r>
      <t>Roughness Repeatability spec 수립, RSD &lt; 5% or 1</t>
    </r>
    <r>
      <rPr>
        <sz val="10"/>
        <color theme="1"/>
        <rFont val="Calibri"/>
        <family val="3"/>
        <charset val="161"/>
      </rPr>
      <t>σ</t>
    </r>
    <r>
      <rPr>
        <sz val="10"/>
        <color theme="1"/>
        <rFont val="맑은 고딕"/>
        <family val="3"/>
        <charset val="129"/>
        <scheme val="minor"/>
      </rPr>
      <t xml:space="preserve"> &lt;0.01nm (둘 중 하나 만족하면 Pass)</t>
    </r>
    <phoneticPr fontId="2" type="noConversion"/>
  </si>
  <si>
    <t>품질개선25-027</t>
    <phoneticPr fontId="2" type="noConversion"/>
  </si>
  <si>
    <r>
      <t>1point에서 10번 측정, 분석시트 사용하여 RSD값 및 1</t>
    </r>
    <r>
      <rPr>
        <sz val="15"/>
        <color theme="1"/>
        <rFont val="Calibri"/>
        <family val="3"/>
        <charset val="161"/>
      </rPr>
      <t>σ</t>
    </r>
    <r>
      <rPr>
        <sz val="15"/>
        <color theme="1"/>
        <rFont val="맑은 고딕"/>
        <family val="3"/>
        <charset val="129"/>
        <scheme val="minor"/>
      </rPr>
      <t xml:space="preserve"> 기입</t>
    </r>
    <phoneticPr fontId="2" type="noConversion"/>
  </si>
  <si>
    <t>Roughness Repeatability Test 1x1um(10Repeats)</t>
    <phoneticPr fontId="2" type="noConversion"/>
  </si>
  <si>
    <t>Check the pneumatic controller sensor settings 
(Nomal state : Green)</t>
    <phoneticPr fontId="2" type="noConversion"/>
  </si>
  <si>
    <t>Roughness Repeatability Test 80x80um(10Repeats)</t>
    <phoneticPr fontId="2" type="noConversion"/>
  </si>
  <si>
    <t>옆 사진 참고하여 해당 두가지 파트에 자석이 각각 붙는지 확인한다. (붙으면 s45c, 아니면 Fail)</t>
    <phoneticPr fontId="2" type="noConversion"/>
  </si>
  <si>
    <t>S45C</t>
    <phoneticPr fontId="2" type="noConversion"/>
  </si>
  <si>
    <t>Z Stage material : S45C</t>
    <phoneticPr fontId="2" type="noConversion"/>
  </si>
  <si>
    <t>Check the cabinet front door alarm and buzzer</t>
    <phoneticPr fontId="2" type="noConversion"/>
  </si>
  <si>
    <t xml:space="preserve">Check the cabinet rear door alarm and buzzer </t>
    <phoneticPr fontId="2" type="noConversion"/>
  </si>
  <si>
    <t>Check the cabinet side door alarm and buzzer</t>
    <phoneticPr fontId="2" type="noConversion"/>
  </si>
  <si>
    <t>Check item 문구 수정</t>
    <phoneticPr fontId="2" type="noConversion"/>
  </si>
  <si>
    <t>Check the cabinet front door alarm -&gt; Check the cabinet front door alarm and buzzer</t>
    <phoneticPr fontId="2" type="noConversion"/>
  </si>
  <si>
    <t>품질개선25-026</t>
    <phoneticPr fontId="2" type="noConversion"/>
  </si>
  <si>
    <t>Check for the number of viruses detected after the virus scan</t>
    <phoneticPr fontId="2" type="noConversion"/>
  </si>
  <si>
    <t>Sample Chuck(w/ SiC Anti-warpage)</t>
  </si>
  <si>
    <t>Allowable max warpage, w/ SiC Anti-warpage sample chuck (Crying type) : min 900 -&gt; max 800</t>
    <phoneticPr fontId="2" type="noConversion"/>
  </si>
  <si>
    <t>Sim tape 작업 후 진행 (spec. &lt;30um @300mm, &lt;50um @200mm)</t>
    <phoneticPr fontId="2" type="noConversion"/>
  </si>
  <si>
    <t>Sample Chuck(w/ Sliding stage)</t>
  </si>
  <si>
    <t>Check sample surface mapping : 50um -&gt; 30um@300mm, 50um@200mm</t>
    <phoneticPr fontId="2" type="noConversion"/>
  </si>
  <si>
    <t>품질개선25-036</t>
    <phoneticPr fontId="2" type="noConversion"/>
  </si>
  <si>
    <t>품질개선25-034</t>
    <phoneticPr fontId="2" type="noConversion"/>
  </si>
  <si>
    <t>Sim tape 작업으로 인한 평탄도 개선, 300mm system</t>
    <phoneticPr fontId="2" type="noConversion"/>
  </si>
  <si>
    <t>Warpage sample 분실로 인해 spec 변경</t>
    <phoneticPr fontId="2" type="noConversion"/>
  </si>
  <si>
    <t>XY Scanner(w/ SiC Anti-warpage chuck)</t>
  </si>
  <si>
    <t>Y Detector noise (XY Servo on) : 0.8nm -&gt; 0.6nm</t>
    <phoneticPr fontId="2" type="noConversion"/>
  </si>
  <si>
    <t>Y1 Detector noise (XY Servo on) : 0.9nm -&gt; 0.7nm</t>
    <phoneticPr fontId="2" type="noConversion"/>
  </si>
  <si>
    <t>Y2 Detector noise (XY Servo on) : 0.9nm -&gt; 0.7nm</t>
    <phoneticPr fontId="2" type="noConversion"/>
  </si>
  <si>
    <t>품질개선25-058</t>
    <phoneticPr fontId="2" type="noConversion"/>
  </si>
  <si>
    <t xml:space="preserve">경량화 Anti-warpage sample chuck 투입으로 인한 XY Detector noise spec 변경 건 </t>
    <phoneticPr fontId="2" type="noConversion"/>
  </si>
  <si>
    <t>Full range of X Detector during X Scan sweep</t>
  </si>
  <si>
    <t>글자 크기변경(10-&gt;15)</t>
    <phoneticPr fontId="2" type="noConversion"/>
  </si>
  <si>
    <t>Check Cabinet Earth Bar connect to A/E Earth Bar</t>
    <phoneticPr fontId="2" type="noConversion"/>
  </si>
  <si>
    <t>Conductive AFM</t>
    <phoneticPr fontId="2" type="noConversion"/>
  </si>
  <si>
    <t>Selectable amplifier gain</t>
    <phoneticPr fontId="2" type="noConversion"/>
  </si>
  <si>
    <t>Noise level of current signal</t>
    <phoneticPr fontId="2" type="noConversion"/>
  </si>
  <si>
    <r>
      <t>Resistance value of 1k</t>
    </r>
    <r>
      <rPr>
        <sz val="10"/>
        <color theme="1"/>
        <rFont val="Calibri"/>
        <family val="3"/>
        <charset val="161"/>
      </rPr>
      <t>Ω</t>
    </r>
    <phoneticPr fontId="2" type="noConversion"/>
  </si>
  <si>
    <r>
      <t>Resistance value of 1M</t>
    </r>
    <r>
      <rPr>
        <sz val="10"/>
        <color theme="1"/>
        <rFont val="Calibri"/>
        <family val="3"/>
        <charset val="161"/>
      </rPr>
      <t>Ω</t>
    </r>
    <phoneticPr fontId="2" type="noConversion"/>
  </si>
  <si>
    <t>Firmware version of FEM</t>
    <phoneticPr fontId="2" type="noConversion"/>
  </si>
  <si>
    <t>Resistance between GND to Probehand</t>
    <phoneticPr fontId="2" type="noConversion"/>
  </si>
  <si>
    <t>C-AFM combo probehand for NX</t>
    <phoneticPr fontId="2" type="noConversion"/>
  </si>
  <si>
    <t>Conductive AFM test sample (Cobalt-Doped Iron Oxide)</t>
    <phoneticPr fontId="2" type="noConversion"/>
  </si>
  <si>
    <t>CONTSCPt, 3M</t>
    <phoneticPr fontId="2" type="noConversion"/>
  </si>
  <si>
    <t>25Pt300B, 3M</t>
    <phoneticPr fontId="2" type="noConversion"/>
  </si>
  <si>
    <t>CDT-FMR, 3M</t>
    <phoneticPr fontId="2" type="noConversion"/>
  </si>
  <si>
    <t>Check LED lighting of FEM when switching modes (C-AFM, On / EFM, Off)</t>
    <phoneticPr fontId="2" type="noConversion"/>
  </si>
  <si>
    <t>Check add eAFM Mode to Head Mode</t>
    <phoneticPr fontId="2" type="noConversion"/>
  </si>
  <si>
    <t>Check the Bias Voltage (SampleChuck, EFM&amp;C-AFM Tip Initialization sample at Sample Holder)</t>
    <phoneticPr fontId="2" type="noConversion"/>
  </si>
  <si>
    <t>EFM&amp;C-AFM Tip Initialization sample (HOPG, Gold Tip 2ea)</t>
    <phoneticPr fontId="2" type="noConversion"/>
  </si>
  <si>
    <t>CDT-FMR, 12M</t>
    <phoneticPr fontId="2" type="noConversion"/>
  </si>
  <si>
    <t>AD-42-AS, 12M</t>
    <phoneticPr fontId="2" type="noConversion"/>
  </si>
  <si>
    <t>AD-42-AS, 12M</t>
    <phoneticPr fontId="2" type="noConversion"/>
  </si>
  <si>
    <t>NX-TSH300 Overlay</t>
    <phoneticPr fontId="2" type="noConversion"/>
  </si>
  <si>
    <t>초도평가 완료 후 추가</t>
    <phoneticPr fontId="2" type="noConversion"/>
  </si>
  <si>
    <t>v3.20.1</t>
    <phoneticPr fontId="2" type="noConversion"/>
  </si>
  <si>
    <t>*즉시 적용건</t>
    <phoneticPr fontId="2" type="noConversion"/>
  </si>
  <si>
    <t>아래 16가지 항목 삭제</t>
    <phoneticPr fontId="2" type="noConversion"/>
  </si>
  <si>
    <t>품질개선 25-072</t>
    <phoneticPr fontId="2" type="noConversion"/>
  </si>
  <si>
    <t>XY Stage Repeat Test Repeat 횟수 조정 件. (삭제로 변경)</t>
    <phoneticPr fontId="2" type="noConversion"/>
  </si>
  <si>
    <t xml:space="preserve">X Detector stroke calibration error (nominal scale error X)	</t>
    <phoneticPr fontId="2" type="noConversion"/>
  </si>
  <si>
    <t>Y Detector stroke calibration error (nominal scale error Y)</t>
    <phoneticPr fontId="2" type="noConversion"/>
  </si>
  <si>
    <t>%</t>
    <phoneticPr fontId="2" type="noConversion"/>
  </si>
  <si>
    <t>XY Stage(Wafer, HDM, PSS, WLI, Mask)</t>
    <phoneticPr fontId="2" type="noConversion"/>
  </si>
  <si>
    <t>품질개선 25-075</t>
    <phoneticPr fontId="2" type="noConversion"/>
  </si>
  <si>
    <t>X,Y,Z Calibration QC Spec Checklist 반영 요청 건</t>
    <phoneticPr fontId="2" type="noConversion"/>
  </si>
  <si>
    <t>X Detector stroke calibration error (nominal scale error X) : &lt;spec.0.5%</t>
    <phoneticPr fontId="2" type="noConversion"/>
  </si>
  <si>
    <t>Y Detector stroke calibration error (nominal scale error Y) : &lt;spec.0.5%</t>
    <phoneticPr fontId="2" type="noConversion"/>
  </si>
  <si>
    <t xml:space="preserve">X Detector stroke calibration error (nominal scale error X) : &lt;spec.0.5%	 </t>
    <phoneticPr fontId="2" type="noConversion"/>
  </si>
  <si>
    <t>Calibration 오차 기준 설정에 따른 Check item 추가</t>
    <phoneticPr fontId="2" type="noConversion"/>
  </si>
  <si>
    <t>-</t>
    <phoneticPr fontId="2" type="noConversion"/>
  </si>
  <si>
    <t>nm</t>
    <phoneticPr fontId="2" type="noConversion"/>
  </si>
  <si>
    <t>Specification of Step Height Sample for Z Calibration</t>
  </si>
  <si>
    <t>Specification of Step Height Sample for Z Calibration</t>
    <phoneticPr fontId="2" type="noConversion"/>
  </si>
  <si>
    <t xml:space="preserve">  - Z Height measurement value of the calibration sample</t>
  </si>
  <si>
    <t xml:space="preserve">  - Z Height measurement value of the calibration sample</t>
    <phoneticPr fontId="2" type="noConversion"/>
  </si>
  <si>
    <t xml:space="preserve">  - Z Drive measurement value of the calibration sample</t>
  </si>
  <si>
    <t xml:space="preserve">  - Z Drive measurement value of the calibration sample</t>
    <phoneticPr fontId="2" type="noConversion"/>
  </si>
  <si>
    <t xml:space="preserve">아래 측정(Z Calibration) 에 사용하는 Sample(450nm) spec 값 min, max criteria에 기입 </t>
    <phoneticPr fontId="2" type="noConversion"/>
  </si>
  <si>
    <t>신규 분석 프로그램인 XY Scanner Calibration Sample Analyzer 사용</t>
    <phoneticPr fontId="2" type="noConversion"/>
  </si>
  <si>
    <t>Performance(TSH600)</t>
    <phoneticPr fontId="2" type="noConversion"/>
  </si>
  <si>
    <t>TSH600만 누락된 항목으로 추가</t>
    <phoneticPr fontId="2" type="noConversion"/>
  </si>
  <si>
    <t>Display refresh 프로그램 설치 확인</t>
    <phoneticPr fontId="2" type="noConversion"/>
  </si>
  <si>
    <t>Z Height calibration error</t>
    <phoneticPr fontId="2" type="noConversion"/>
  </si>
  <si>
    <t>Z Drive calibration error</t>
    <phoneticPr fontId="2" type="noConversion"/>
  </si>
  <si>
    <t>Z Height calibration error : &lt;spec.0.5%</t>
    <phoneticPr fontId="2" type="noConversion"/>
  </si>
  <si>
    <t>Z Drive calibration error : &lt;spec.0.5%</t>
    <phoneticPr fontId="2" type="noConversion"/>
  </si>
  <si>
    <t>Check the installation status of the display refresh program</t>
  </si>
  <si>
    <t>Check the installation status of the display refresh program</t>
    <phoneticPr fontId="2" type="noConversion"/>
  </si>
  <si>
    <t>Ω</t>
    <phoneticPr fontId="2" type="noConversion"/>
  </si>
  <si>
    <t>Measurement of surface resistance of the upper end-effector</t>
    <phoneticPr fontId="2" type="noConversion"/>
  </si>
  <si>
    <t>Measurement of surface resistance of the lower end-effector</t>
    <phoneticPr fontId="2" type="noConversion"/>
  </si>
  <si>
    <t>Pad type End-effector 만 PAD 표면저항 측정</t>
    <phoneticPr fontId="2" type="noConversion"/>
  </si>
  <si>
    <t>EFEM(Wafer, WLI)</t>
    <phoneticPr fontId="2" type="noConversion"/>
  </si>
  <si>
    <t>Measurement of surface resistance of the upper end-effector : SPEC. 10^6~10^9</t>
    <phoneticPr fontId="2" type="noConversion"/>
  </si>
  <si>
    <t>Measurement of surface resistance of the lower end-effector : SPEC. 10^6~10^9</t>
    <phoneticPr fontId="2" type="noConversion"/>
  </si>
  <si>
    <t>품질개선 25-084</t>
    <phoneticPr fontId="2" type="noConversion"/>
  </si>
  <si>
    <t>End Effector 개선 PAD 확산 적용 검토 요청의 건</t>
  </si>
  <si>
    <t>품질개선 25-087</t>
    <phoneticPr fontId="2" type="noConversion"/>
  </si>
  <si>
    <t>산업용 장비 Display Refresh Setting 관리 방법 논의 요청 건</t>
  </si>
  <si>
    <t>v3.20.2</t>
    <phoneticPr fontId="2" type="noConversion"/>
  </si>
  <si>
    <t>Check item 기준 변경</t>
    <phoneticPr fontId="2" type="noConversion"/>
  </si>
  <si>
    <t>품질개선 25-096</t>
    <phoneticPr fontId="2" type="noConversion"/>
  </si>
  <si>
    <t>산업용 System XY Scanner 체결 Bolt 변경 요청 건</t>
    <phoneticPr fontId="2" type="noConversion"/>
  </si>
  <si>
    <t>Bolt Size 변경(XY Scanner 체결 볼트)</t>
    <phoneticPr fontId="2" type="noConversion"/>
  </si>
  <si>
    <t>XY Stage positioning X 1σ (Vision Pattern Matching)</t>
    <phoneticPr fontId="2" type="noConversion"/>
  </si>
  <si>
    <t>XY Stage positioning Y 1σ (Vision Pattern Matching)</t>
    <phoneticPr fontId="2" type="noConversion"/>
  </si>
  <si>
    <t>XY Stage positioning X 1σ (In-Die Align)</t>
    <phoneticPr fontId="2" type="noConversion"/>
  </si>
  <si>
    <t>XY Stage positioning Y 1σ (In-Die Align)</t>
    <phoneticPr fontId="2" type="noConversion"/>
  </si>
  <si>
    <t>XY Stage positioning X 1σ (Global Align)</t>
    <phoneticPr fontId="2" type="noConversion"/>
  </si>
  <si>
    <t>XY Stage positioning Y 1σ (Global Align)</t>
    <phoneticPr fontId="2" type="noConversion"/>
  </si>
  <si>
    <r>
      <t>아래 항목들 중 1</t>
    </r>
    <r>
      <rPr>
        <sz val="10"/>
        <color theme="1"/>
        <rFont val="Calibri"/>
        <family val="3"/>
        <charset val="161"/>
      </rPr>
      <t>σ</t>
    </r>
    <r>
      <rPr>
        <sz val="10"/>
        <color theme="1"/>
        <rFont val="맑은 고딕"/>
        <family val="3"/>
        <charset val="129"/>
        <scheme val="minor"/>
      </rPr>
      <t xml:space="preserve"> 항목 추가 및 XY Stage positioning Spec 추가</t>
    </r>
    <phoneticPr fontId="2" type="noConversion"/>
  </si>
  <si>
    <t>Check item 추가 및 Spec 추가</t>
    <phoneticPr fontId="2" type="noConversion"/>
  </si>
  <si>
    <t>XY Stage positioning X offset (Vision Pattern Matching) : spec. &lt;4um</t>
    <phoneticPr fontId="2" type="noConversion"/>
  </si>
  <si>
    <t>XY Stage positioning Y offset (Vision Pattern Matching) : spec. &lt;4um</t>
    <phoneticPr fontId="2" type="noConversion"/>
  </si>
  <si>
    <t>XY Stage positioning X offset (In-Die Align) : spec. &lt;4um</t>
    <phoneticPr fontId="2" type="noConversion"/>
  </si>
  <si>
    <t>XY Stage positioning Y offset (In-Die Align) : spec. &lt;4um</t>
    <phoneticPr fontId="2" type="noConversion"/>
  </si>
  <si>
    <t>XY Stage positioning X offset (Global Align) : spec. &lt;7.5um</t>
    <phoneticPr fontId="2" type="noConversion"/>
  </si>
  <si>
    <t>XY Stage positioning Y offset (Global Align) : spec. &lt;7.5um</t>
    <phoneticPr fontId="2" type="noConversion"/>
  </si>
  <si>
    <r>
      <t>XY Stage positioning X 1</t>
    </r>
    <r>
      <rPr>
        <sz val="10"/>
        <color theme="1"/>
        <rFont val="Calibri"/>
        <family val="3"/>
        <charset val="161"/>
      </rPr>
      <t>σ</t>
    </r>
    <r>
      <rPr>
        <sz val="10"/>
        <color theme="1"/>
        <rFont val="맑은 고딕"/>
        <family val="3"/>
        <charset val="129"/>
        <scheme val="minor"/>
      </rPr>
      <t xml:space="preserve"> (Vision Pattern Matching) : spec. &lt;0.8um</t>
    </r>
    <phoneticPr fontId="2" type="noConversion"/>
  </si>
  <si>
    <r>
      <t>XY Stage positioning Y 1</t>
    </r>
    <r>
      <rPr>
        <sz val="10"/>
        <color theme="1"/>
        <rFont val="Calibri"/>
        <family val="3"/>
        <charset val="161"/>
      </rPr>
      <t>σ</t>
    </r>
    <r>
      <rPr>
        <sz val="10"/>
        <color theme="1"/>
        <rFont val="맑은 고딕"/>
        <family val="3"/>
        <charset val="129"/>
        <scheme val="minor"/>
      </rPr>
      <t xml:space="preserve"> (Vision Pattern Matching) : spec. &lt;0.8um</t>
    </r>
    <phoneticPr fontId="2" type="noConversion"/>
  </si>
  <si>
    <r>
      <t>XY Stage positioning X 1</t>
    </r>
    <r>
      <rPr>
        <sz val="10"/>
        <color theme="1"/>
        <rFont val="Calibri"/>
        <family val="3"/>
        <charset val="161"/>
      </rPr>
      <t>σ</t>
    </r>
    <r>
      <rPr>
        <sz val="10"/>
        <color theme="1"/>
        <rFont val="맑은 고딕"/>
        <family val="3"/>
        <charset val="129"/>
        <scheme val="minor"/>
      </rPr>
      <t xml:space="preserve"> (In-Die Align) : spec. &lt;0.8um</t>
    </r>
    <phoneticPr fontId="2" type="noConversion"/>
  </si>
  <si>
    <r>
      <t>XY Stage positioning Y 1</t>
    </r>
    <r>
      <rPr>
        <sz val="10"/>
        <color theme="1"/>
        <rFont val="Calibri"/>
        <family val="3"/>
        <charset val="161"/>
      </rPr>
      <t>σ</t>
    </r>
    <r>
      <rPr>
        <sz val="10"/>
        <color theme="1"/>
        <rFont val="맑은 고딕"/>
        <family val="3"/>
        <charset val="129"/>
        <scheme val="minor"/>
      </rPr>
      <t xml:space="preserve"> (In-Die Align) : spec. &lt;0.8um</t>
    </r>
    <phoneticPr fontId="2" type="noConversion"/>
  </si>
  <si>
    <r>
      <t>XY Stage positioning X 1</t>
    </r>
    <r>
      <rPr>
        <sz val="10"/>
        <color theme="1"/>
        <rFont val="Calibri"/>
        <family val="3"/>
        <charset val="161"/>
      </rPr>
      <t>σ</t>
    </r>
    <r>
      <rPr>
        <sz val="10"/>
        <color theme="1"/>
        <rFont val="맑은 고딕"/>
        <family val="3"/>
        <charset val="129"/>
        <scheme val="minor"/>
      </rPr>
      <t xml:space="preserve"> (Global Align) : spec. &lt;2.2um</t>
    </r>
    <phoneticPr fontId="2" type="noConversion"/>
  </si>
  <si>
    <r>
      <t>XY Stage positioning Y 1</t>
    </r>
    <r>
      <rPr>
        <sz val="10"/>
        <color theme="1"/>
        <rFont val="Calibri"/>
        <family val="3"/>
        <charset val="161"/>
      </rPr>
      <t>σ</t>
    </r>
    <r>
      <rPr>
        <sz val="10"/>
        <color theme="1"/>
        <rFont val="맑은 고딕"/>
        <family val="3"/>
        <charset val="129"/>
        <scheme val="minor"/>
      </rPr>
      <t xml:space="preserve"> (Global Align) : spec. &lt;2.2um</t>
    </r>
    <phoneticPr fontId="2" type="noConversion"/>
  </si>
  <si>
    <t>품질개선 25-103</t>
    <phoneticPr fontId="2" type="noConversion"/>
  </si>
  <si>
    <t>산업용 XY Stage positioning test spec 수립</t>
    <phoneticPr fontId="2" type="noConversion"/>
  </si>
  <si>
    <t>v3.21.0</t>
    <phoneticPr fontId="2" type="noConversion"/>
  </si>
  <si>
    <t>SW(Wafer, WLI, Overlay)</t>
    <phoneticPr fontId="2" type="noConversion"/>
  </si>
  <si>
    <t>'Dcom.psia.xei.profileSupported=true' in xei.vmoptions</t>
    <phoneticPr fontId="2" type="noConversion"/>
  </si>
  <si>
    <t>'Dcom.psia.xea.useInDieAlign=true' in xea.vmoptions</t>
    <phoneticPr fontId="2" type="noConversion"/>
  </si>
  <si>
    <t>'Dcom.psia.xea.useInDieAlign=true' in xea.vmoptions</t>
    <phoneticPr fontId="2" type="noConversion"/>
  </si>
  <si>
    <t>AL재질 및 eAFM Sample chuck 제외</t>
    <phoneticPr fontId="2" type="noConversion"/>
  </si>
  <si>
    <t>NX-Hybrid WLI(Interferom)</t>
    <phoneticPr fontId="2" type="noConversion"/>
  </si>
  <si>
    <t>품질개선 25-134</t>
    <phoneticPr fontId="2" type="noConversion"/>
  </si>
  <si>
    <t>XY stage positioning test를 위한 In-Die align VMOPTION 관련 Checklist 항목 추가 요청의 件</t>
    <phoneticPr fontId="2" type="noConversion"/>
  </si>
  <si>
    <t>Recipe/분석프로그램 사용, Metro cal 사용</t>
    <phoneticPr fontId="2" type="noConversion"/>
  </si>
  <si>
    <t>Misc(Mask, Overlay)</t>
    <phoneticPr fontId="2" type="noConversion"/>
  </si>
  <si>
    <r>
      <t>Check Z Scanner body connect to A/E Earth Bar : Spec.&lt;1.5</t>
    </r>
    <r>
      <rPr>
        <sz val="10"/>
        <color theme="1"/>
        <rFont val="Calibri"/>
        <family val="3"/>
        <charset val="161"/>
      </rPr>
      <t>Ω</t>
    </r>
    <phoneticPr fontId="2" type="noConversion"/>
  </si>
  <si>
    <t>Cantilever DB version : 1.1 -&gt;1.3</t>
    <phoneticPr fontId="2" type="noConversion"/>
  </si>
  <si>
    <t>eAFM Default cantilever DB 추가</t>
    <phoneticPr fontId="2" type="noConversion"/>
  </si>
  <si>
    <t>EFEM Load port의 Load button 눌러서 indexer s/w에 event 발생하는 화면 캡쳐</t>
    <phoneticPr fontId="2" type="noConversion"/>
  </si>
  <si>
    <t>EFEM(Single Load port)</t>
    <phoneticPr fontId="2" type="noConversion"/>
  </si>
  <si>
    <t>EFEM(Dual Load port)</t>
    <phoneticPr fontId="2" type="noConversion"/>
  </si>
  <si>
    <t>품질개선 25-133</t>
    <phoneticPr fontId="2" type="noConversion"/>
  </si>
  <si>
    <t>Swtich box power lamp color(Power Lamp Main, EFEM, AFM = Whilte)</t>
    <phoneticPr fontId="2" type="noConversion"/>
  </si>
  <si>
    <t>Check if the power lamps(Main/EFEM/AFM) turn on when the main power is on</t>
  </si>
  <si>
    <t>Check if the power lamps(Main/EFEM/AFM) turn on when the main power is on</t>
    <phoneticPr fontId="2" type="noConversion"/>
  </si>
  <si>
    <t>power on 했을때 power lamp(main/efem/afm)가 점등 되는지 확인</t>
    <phoneticPr fontId="2" type="noConversion"/>
  </si>
  <si>
    <t>Check if the power lamps(Power Cable/UPS Power) turn on when the main power is on</t>
    <phoneticPr fontId="2" type="noConversion"/>
  </si>
  <si>
    <t>Check if the power lamps(Power Cable/UPS Power) turn on when the main power is on</t>
    <phoneticPr fontId="2" type="noConversion"/>
  </si>
  <si>
    <t>Facility(PB, Overlay, TSH600)</t>
    <phoneticPr fontId="2" type="noConversion"/>
  </si>
  <si>
    <t>Facility(T1)</t>
    <phoneticPr fontId="2" type="noConversion"/>
  </si>
  <si>
    <t>power on 했을때 power lamp(Power Cable/UPS Power)가 점등 되는지 확인</t>
    <phoneticPr fontId="2" type="noConversion"/>
  </si>
  <si>
    <t>Check if the driving % changes proportionally during NCM modulation</t>
    <phoneticPr fontId="2" type="noConversion"/>
  </si>
  <si>
    <t>품질개선 25-160</t>
    <phoneticPr fontId="2" type="noConversion"/>
  </si>
  <si>
    <t>TSH만</t>
    <phoneticPr fontId="2" type="noConversion"/>
  </si>
  <si>
    <t>Full range of X1 Detector during X Scan sweep</t>
  </si>
  <si>
    <t>Full range of X2 Detector during X Scan sweep</t>
  </si>
  <si>
    <t>Full range of Y1 Detector during Y Scan sweep</t>
  </si>
  <si>
    <t>Full range of Y2 Detector during Y Scan sweep</t>
  </si>
  <si>
    <t>아래 다섯개의 항목 spec. 110≤ -&gt; 150~240 으로 변경</t>
    <phoneticPr fontId="2" type="noConversion"/>
  </si>
  <si>
    <t>품질개선 25-178</t>
    <phoneticPr fontId="2" type="noConversion"/>
  </si>
  <si>
    <t>Check if the lock stage has been taught</t>
    <phoneticPr fontId="2" type="noConversion"/>
  </si>
  <si>
    <t>Sample chuck(mask)</t>
    <phoneticPr fontId="2" type="noConversion"/>
  </si>
  <si>
    <t>Check if any alarm occurs during the lock stage repeat</t>
    <phoneticPr fontId="2" type="noConversion"/>
  </si>
  <si>
    <t>Check the load button on the load port1 of the EFEM for any abnormalities</t>
  </si>
  <si>
    <t>Check the load button on the load port1 of the EFEM for any abnormalities</t>
    <phoneticPr fontId="2" type="noConversion"/>
  </si>
  <si>
    <t>EFEM(single, dual)</t>
    <phoneticPr fontId="2" type="noConversion"/>
  </si>
  <si>
    <t>Check the load button on the load port2 of the EFEM for any abnormalities</t>
    <phoneticPr fontId="2" type="noConversion"/>
  </si>
  <si>
    <t>품질개선 24-216</t>
    <phoneticPr fontId="2" type="noConversion"/>
  </si>
  <si>
    <t>품질개선 25-164</t>
    <phoneticPr fontId="2" type="noConversion"/>
  </si>
  <si>
    <t>LightStrengthGain</t>
    <phoneticPr fontId="2" type="noConversion"/>
  </si>
  <si>
    <t>Check the Vision brightness calibration</t>
  </si>
  <si>
    <t>Check the Vision brightness calibration</t>
    <phoneticPr fontId="2" type="noConversion"/>
  </si>
  <si>
    <t>Vision brightness cal 후 DB 값 기입 Vision-Camera-LightStrengthGain, Cal 값 기입 후 출고시 1로 설정해서 출하</t>
    <phoneticPr fontId="2" type="noConversion"/>
  </si>
  <si>
    <t xml:space="preserve">LightStrengthGain </t>
    <phoneticPr fontId="2" type="noConversion"/>
  </si>
  <si>
    <t>품질개선 25-180</t>
    <phoneticPr fontId="2" type="noConversion"/>
  </si>
  <si>
    <t>-</t>
    <phoneticPr fontId="2" type="noConversion"/>
  </si>
  <si>
    <t>NCM driving % at an amplitude of 1 nm</t>
  </si>
  <si>
    <t>NCM driving % at an amplitude of 1 nm</t>
    <phoneticPr fontId="2" type="noConversion"/>
  </si>
  <si>
    <t>NCM driving % at an amplitude of 20 nm</t>
  </si>
  <si>
    <t>NCM driving % at an amplitude of 20 nm</t>
    <phoneticPr fontId="2" type="noConversion"/>
  </si>
  <si>
    <t>NCM driving % at an amplitude of 100 nm</t>
  </si>
  <si>
    <t>NCM driving % at an amplitude of 100 nm</t>
    <phoneticPr fontId="2" type="noConversion"/>
  </si>
  <si>
    <t>liquid mode 활성화 확인 필요 및 Amplitude 1nm로 일때의 Driving%, Capture 후 저장</t>
    <phoneticPr fontId="2" type="noConversion"/>
  </si>
  <si>
    <t>liquid mode 활성화 확인 필요 및 Amplitude 20nm로 일때의 Driving%, Capture 후 저장</t>
    <phoneticPr fontId="2" type="noConversion"/>
  </si>
  <si>
    <t>liquid mode 활성화 확인 필요 및 Amplitude 100nm로 일때의 Driving%, Capture 후 저장</t>
    <phoneticPr fontId="2" type="noConversion"/>
  </si>
  <si>
    <t>Manual 참고, Amp. 1nm, 20nm, 100nm 일때 확인, 아래 값이 비례적으로 변하는지 확인한 후 Yes 진행</t>
    <phoneticPr fontId="2" type="noConversion"/>
  </si>
  <si>
    <t>v3.21.1</t>
    <phoneticPr fontId="2" type="noConversion"/>
  </si>
  <si>
    <t>Check if the driving % changes proportionally as the NCM amplitude changes</t>
    <phoneticPr fontId="2" type="noConversion"/>
  </si>
  <si>
    <t>Check if the driving % changes proportionally during NCM modulation을 아래 문장으로 변경</t>
    <phoneticPr fontId="2" type="noConversion"/>
  </si>
  <si>
    <t>위 테스트를 세분화하여 수정, 아래 체크 item 3가지 추가</t>
    <phoneticPr fontId="2" type="noConversion"/>
  </si>
  <si>
    <t>Mask Roughness Repeatability Test 1x1um(10Repeats)</t>
  </si>
  <si>
    <t>Mask Roughness Repeatability 1x1um(RSD%)</t>
  </si>
  <si>
    <t>Mask Roughness Repeatability 1x1um(1σ)</t>
  </si>
  <si>
    <t>Mask Roughness Repeatability Test 40x40um(10Repeats)</t>
  </si>
  <si>
    <t>Mask Roughness Repeatability 40x40um(RSD%)</t>
  </si>
  <si>
    <t>Mask Roughness Repeatability 40x40um(1σ)</t>
  </si>
  <si>
    <t>Performance(Mask, Overlay)</t>
    <phoneticPr fontId="2" type="noConversion"/>
  </si>
  <si>
    <t>아래 측정(Short-term stability) 에 사용하는 Sample spec 기입 ex)450 ± 2.0nm, wafer sample 사용(180nm or 450nm)</t>
    <phoneticPr fontId="2" type="noConversion"/>
  </si>
  <si>
    <t>Short-term stability using Step Height Sample (3σ)</t>
    <phoneticPr fontId="2" type="noConversion"/>
  </si>
  <si>
    <r>
      <t>Short-term stability using Step Height Sample (3</t>
    </r>
    <r>
      <rPr>
        <sz val="10"/>
        <color theme="1"/>
        <rFont val="Calibri"/>
        <family val="3"/>
        <charset val="161"/>
      </rPr>
      <t>σ</t>
    </r>
    <r>
      <rPr>
        <sz val="10"/>
        <color theme="1"/>
        <rFont val="맑은 고딕"/>
        <family val="3"/>
        <charset val="129"/>
        <scheme val="minor"/>
      </rPr>
      <t>)</t>
    </r>
    <phoneticPr fontId="2" type="noConversion"/>
  </si>
  <si>
    <t>450nm 샘플과180nm 샘플 둘 중 하나 사용으로 변경됨에 따라 문구 변경</t>
    <phoneticPr fontId="2" type="noConversion"/>
  </si>
  <si>
    <t>Performance(Wafer, HDM, WLI)</t>
    <phoneticPr fontId="2" type="noConversion"/>
  </si>
  <si>
    <t>Resonance frequency of AC240 by frequency sweep</t>
    <phoneticPr fontId="2" type="noConversion"/>
  </si>
  <si>
    <t>Cal 450nm, 450nm or 180nm의 Sample을 활용하여 72시간(3days) 측정 진행 1recipe(100 repeats)를 21번 반복 측정 - 총 2100 point의 3시그마 사용, Guide 및 분석시트 사용</t>
    <phoneticPr fontId="2" type="noConversion"/>
  </si>
  <si>
    <t>Jayden Lee</t>
    <phoneticPr fontId="2" type="noConversion"/>
  </si>
  <si>
    <t>Z Stage(HDM, HDM EFEM, PSS)</t>
    <phoneticPr fontId="2" type="noConversion"/>
  </si>
  <si>
    <t>Z Stage material S45C -&gt; AL6061</t>
    <phoneticPr fontId="2" type="noConversion"/>
  </si>
  <si>
    <t>해당 장비들의 z stage의 재질변경 제외 건들</t>
    <phoneticPr fontId="2" type="noConversion"/>
  </si>
  <si>
    <t>EFEM(HDM EFEM)</t>
    <phoneticPr fontId="2" type="noConversion"/>
  </si>
  <si>
    <t>Aligner maker model에 추가 (기존에는 bluecord만 있었음 logosol 추가함) : logosol spec. 0.04</t>
    <phoneticPr fontId="2" type="noConversion"/>
  </si>
  <si>
    <t>Isolation</t>
    <phoneticPr fontId="2" type="noConversion"/>
  </si>
  <si>
    <t>Isolation</t>
    <phoneticPr fontId="2" type="noConversion"/>
  </si>
  <si>
    <t>IND-M1</t>
    <phoneticPr fontId="2" type="noConversion"/>
  </si>
  <si>
    <t>Pass</t>
    <phoneticPr fontId="2" type="noConversion"/>
  </si>
  <si>
    <t>Yes</t>
    <phoneticPr fontId="2" type="noConversion"/>
  </si>
  <si>
    <t>0x6e11041e</t>
    <phoneticPr fontId="2" type="noConversion"/>
  </si>
  <si>
    <t>0x6e31041e</t>
    <phoneticPr fontId="2" type="noConversion"/>
  </si>
  <si>
    <t>Auto standard</t>
  </si>
  <si>
    <t>Auto standard</t>
    <phoneticPr fontId="2" type="noConversion"/>
  </si>
  <si>
    <t>High Frequency</t>
    <phoneticPr fontId="2" type="noConversion"/>
  </si>
  <si>
    <t>Pass</t>
    <phoneticPr fontId="2" type="noConversion"/>
  </si>
  <si>
    <t>461.2 ± 2.8</t>
    <phoneticPr fontId="2" type="noConversion"/>
  </si>
  <si>
    <t>Non-PoE</t>
    <phoneticPr fontId="2" type="noConversion"/>
  </si>
  <si>
    <t>Installed</t>
    <phoneticPr fontId="2" type="noConversion"/>
  </si>
  <si>
    <t>24H2</t>
  </si>
  <si>
    <t>24H2</t>
    <phoneticPr fontId="2" type="noConversion"/>
  </si>
  <si>
    <t>Window11 64bit</t>
  </si>
  <si>
    <t>Window11 64bit</t>
    <phoneticPr fontId="2" type="noConversion"/>
  </si>
  <si>
    <t>Korean</t>
  </si>
  <si>
    <t>Korean</t>
    <phoneticPr fontId="2" type="noConversion"/>
  </si>
  <si>
    <t>4.8.1</t>
    <phoneticPr fontId="2" type="noConversion"/>
  </si>
  <si>
    <t>HP Z4 G5 Workstation</t>
  </si>
  <si>
    <t>HP Z4 G5 Workstation</t>
    <phoneticPr fontId="2" type="noConversion"/>
  </si>
  <si>
    <t>No</t>
  </si>
  <si>
    <t>NA</t>
  </si>
  <si>
    <t>NA</t>
    <phoneticPr fontId="2" type="noConversion"/>
  </si>
  <si>
    <t>RYG</t>
  </si>
  <si>
    <t>RYG</t>
    <phoneticPr fontId="2" type="noConversion"/>
  </si>
  <si>
    <t>V2BCH</t>
  </si>
  <si>
    <t>V2BCH</t>
    <phoneticPr fontId="2" type="noConversion"/>
  </si>
  <si>
    <t>Galil</t>
  </si>
  <si>
    <t>SiC</t>
  </si>
  <si>
    <t>SiC</t>
    <phoneticPr fontId="2" type="noConversion"/>
  </si>
  <si>
    <t>Pin type</t>
  </si>
  <si>
    <t>Pin type</t>
    <phoneticPr fontId="2" type="noConversion"/>
  </si>
  <si>
    <t>Teached</t>
    <phoneticPr fontId="2" type="noConversion"/>
  </si>
  <si>
    <t>1.0.3.1088</t>
    <phoneticPr fontId="2" type="noConversion"/>
  </si>
  <si>
    <t>PWC-SB 4Fa</t>
    <phoneticPr fontId="2" type="noConversion"/>
  </si>
  <si>
    <t>Normal=60%, Active=20%</t>
    <phoneticPr fontId="2" type="noConversion"/>
  </si>
  <si>
    <t>White</t>
  </si>
  <si>
    <t>White</t>
    <phoneticPr fontId="2" type="noConversion"/>
  </si>
  <si>
    <t>Green, Black, Blue</t>
    <phoneticPr fontId="2" type="noConversion"/>
  </si>
  <si>
    <t>Blue</t>
  </si>
  <si>
    <t>Blue</t>
    <phoneticPr fontId="2" type="noConversion"/>
  </si>
  <si>
    <t>Yes</t>
    <phoneticPr fontId="2" type="noConversion"/>
  </si>
  <si>
    <t>V2BCH</t>
    <phoneticPr fontId="2" type="noConversion"/>
  </si>
  <si>
    <t>HCMNEW</t>
    <phoneticPr fontId="2" type="noConversion"/>
  </si>
  <si>
    <t>AVT_GIGECAM</t>
    <phoneticPr fontId="2" type="noConversion"/>
  </si>
  <si>
    <t>7.0.2</t>
  </si>
  <si>
    <t>Mako G-507C</t>
    <phoneticPr fontId="2" type="noConversion"/>
  </si>
  <si>
    <t>No</t>
    <phoneticPr fontId="2" type="noConversion"/>
  </si>
  <si>
    <t>White</t>
    <phoneticPr fontId="2" type="noConversion"/>
  </si>
  <si>
    <t>0x6e25041e</t>
    <phoneticPr fontId="2" type="noConversion"/>
  </si>
  <si>
    <t>Installed</t>
    <phoneticPr fontId="2" type="noConversion"/>
  </si>
  <si>
    <t>-25.5</t>
    <phoneticPr fontId="2" type="noConversion"/>
  </si>
  <si>
    <t>Pass</t>
    <phoneticPr fontId="2" type="noConversion"/>
  </si>
  <si>
    <t>jre-8u191</t>
    <phoneticPr fontId="2" type="noConversion"/>
  </si>
  <si>
    <t>C-AFM, NC-AFM</t>
    <phoneticPr fontId="2" type="noConversion"/>
  </si>
  <si>
    <t>1.4.3.1480</t>
    <phoneticPr fontId="2" type="noConversion"/>
  </si>
  <si>
    <t>5.2.0 B28</t>
    <phoneticPr fontId="2" type="noConversion"/>
  </si>
  <si>
    <t>5.2.4 B105</t>
    <phoneticPr fontId="2" type="noConversion"/>
  </si>
  <si>
    <t>5.2.6 RTMx</t>
    <phoneticPr fontId="2" type="noConversion"/>
  </si>
  <si>
    <t>5.2.6 RTM5</t>
    <phoneticPr fontId="2" type="noConversion"/>
  </si>
  <si>
    <t>Activated</t>
    <phoneticPr fontId="2" type="noConversion"/>
  </si>
  <si>
    <t>S45C</t>
    <phoneticPr fontId="2" type="noConversion"/>
  </si>
  <si>
    <t>No</t>
    <phoneticPr fontId="2" type="noConversion"/>
  </si>
  <si>
    <t>Pass</t>
    <phoneticPr fontId="2" type="noConversion"/>
  </si>
  <si>
    <t>-75.1</t>
    <phoneticPr fontId="2" type="noConversion"/>
  </si>
  <si>
    <t>Pass</t>
    <phoneticPr fontId="2" type="noConversion"/>
  </si>
  <si>
    <t>Pass</t>
    <phoneticPr fontId="2" type="noConversion"/>
  </si>
  <si>
    <t>2&amp;4</t>
    <phoneticPr fontId="2" type="noConversion"/>
  </si>
  <si>
    <t>XY Stage</t>
    <phoneticPr fontId="2" type="noConversion"/>
  </si>
  <si>
    <t>Align the XY stage origin and sample origin</t>
    <phoneticPr fontId="2" type="noConversion"/>
  </si>
  <si>
    <t>Yes</t>
    <phoneticPr fontId="2" type="noConversion"/>
  </si>
  <si>
    <t>-</t>
    <phoneticPr fontId="2" type="noConversion"/>
  </si>
  <si>
    <t>RMS error after Stage Calibration</t>
    <phoneticPr fontId="2" type="noConversion"/>
  </si>
  <si>
    <t>um</t>
    <phoneticPr fontId="2" type="noConversion"/>
  </si>
  <si>
    <t>SlidingStage</t>
    <phoneticPr fontId="2" type="noConversion"/>
  </si>
  <si>
    <t>Roll motion to X+ full scan</t>
    <phoneticPr fontId="2" type="noConversion"/>
  </si>
  <si>
    <t>um</t>
    <phoneticPr fontId="2" type="noConversion"/>
  </si>
  <si>
    <t>5.2.4 Build54</t>
    <phoneticPr fontId="2" type="noConversion"/>
  </si>
  <si>
    <t>LF</t>
    <phoneticPr fontId="2" type="noConversion"/>
  </si>
  <si>
    <t>183.8 ± 2.0</t>
    <phoneticPr fontId="2" type="noConversion"/>
  </si>
  <si>
    <r>
      <t>AFM, Static Repeatability w/ 180nm Step Height Sample 
(15 repeats, 3σ</t>
    </r>
    <r>
      <rPr>
        <sz val="15"/>
        <rFont val="맑은 고딕"/>
        <family val="2"/>
        <charset val="129"/>
      </rPr>
      <t>)</t>
    </r>
    <phoneticPr fontId="2" type="noConversion"/>
  </si>
  <si>
    <r>
      <t>AFM, Static Repeatability w/ 180nm Step Height Sample 
(15 repeats, RSD%</t>
    </r>
    <r>
      <rPr>
        <sz val="15"/>
        <rFont val="맑은 고딕"/>
        <family val="2"/>
        <charset val="129"/>
      </rPr>
      <t>)</t>
    </r>
    <phoneticPr fontId="2" type="noConversion"/>
  </si>
  <si>
    <r>
      <t>AFP, Static Repeatability w/ 180nm Step Height Sample 
(15 repeats, 3σ</t>
    </r>
    <r>
      <rPr>
        <sz val="15"/>
        <rFont val="맑은 고딕"/>
        <family val="2"/>
        <charset val="129"/>
      </rPr>
      <t>)</t>
    </r>
    <phoneticPr fontId="2" type="noConversion"/>
  </si>
  <si>
    <r>
      <t>AFP, Static Repeatability w/ 180nm Step Height Sample 
(15 repeats, RSD%</t>
    </r>
    <r>
      <rPr>
        <sz val="15"/>
        <rFont val="맑은 고딕"/>
        <family val="2"/>
        <charset val="129"/>
      </rPr>
      <t>)</t>
    </r>
    <phoneticPr fontId="2" type="noConversion"/>
  </si>
  <si>
    <r>
      <t>AFM, Dynamic Repeatability w/ 180nm Step Height Sample 
(15 repeats, 3σ</t>
    </r>
    <r>
      <rPr>
        <sz val="15"/>
        <rFont val="맑은 고딕"/>
        <family val="2"/>
        <charset val="129"/>
      </rPr>
      <t>)</t>
    </r>
    <phoneticPr fontId="2" type="noConversion"/>
  </si>
  <si>
    <r>
      <t>AFM, Dynamic Repeatability w/ 180nm Step Height Sample 
(15 repeats, RSD%</t>
    </r>
    <r>
      <rPr>
        <sz val="15"/>
        <rFont val="맑은 고딕"/>
        <family val="2"/>
        <charset val="129"/>
      </rPr>
      <t>)</t>
    </r>
    <phoneticPr fontId="2" type="noConversion"/>
  </si>
  <si>
    <r>
      <t>AFP, Dynamic Repeatability w/ 180nm Step Height Sample 
(15 repeats, 3σ</t>
    </r>
    <r>
      <rPr>
        <sz val="15"/>
        <rFont val="맑은 고딕"/>
        <family val="2"/>
        <charset val="129"/>
      </rPr>
      <t>)</t>
    </r>
    <phoneticPr fontId="2" type="noConversion"/>
  </si>
  <si>
    <r>
      <t>AFP, Dynamic  Repeatability w/ 180nm Step Height Sample 
(15 repeats, RSD%</t>
    </r>
    <r>
      <rPr>
        <sz val="15"/>
        <rFont val="맑은 고딕"/>
        <family val="2"/>
        <charset val="129"/>
      </rPr>
      <t>)</t>
    </r>
    <phoneticPr fontId="2" type="noConversion"/>
  </si>
  <si>
    <t>462.3 ± 2.7</t>
    <phoneticPr fontId="2" type="noConversion"/>
  </si>
  <si>
    <t>Pass</t>
    <phoneticPr fontId="2" type="noConversion"/>
  </si>
  <si>
    <t>ISO1</t>
    <phoneticPr fontId="2" type="noConversion"/>
  </si>
  <si>
    <t>Installed</t>
    <phoneticPr fontId="2" type="noConversion"/>
  </si>
  <si>
    <r>
      <t xml:space="preserve">10 </t>
    </r>
    <r>
      <rPr>
        <vertAlign val="superscript"/>
        <sz val="15"/>
        <rFont val="Arial"/>
        <family val="2"/>
      </rPr>
      <t>6</t>
    </r>
    <phoneticPr fontId="2" type="noConversion"/>
  </si>
  <si>
    <r>
      <t xml:space="preserve">10 </t>
    </r>
    <r>
      <rPr>
        <vertAlign val="superscript"/>
        <sz val="15"/>
        <rFont val="Arial"/>
        <family val="2"/>
      </rPr>
      <t>9</t>
    </r>
    <phoneticPr fontId="2" type="noConversion"/>
  </si>
  <si>
    <r>
      <t>7.59 x 10</t>
    </r>
    <r>
      <rPr>
        <vertAlign val="superscript"/>
        <sz val="15"/>
        <rFont val="Arial"/>
        <family val="2"/>
      </rPr>
      <t>7</t>
    </r>
    <phoneticPr fontId="2" type="noConversion"/>
  </si>
  <si>
    <r>
      <t>3.51 x 10</t>
    </r>
    <r>
      <rPr>
        <vertAlign val="superscript"/>
        <sz val="15"/>
        <rFont val="Arial"/>
        <family val="2"/>
      </rPr>
      <t>8</t>
    </r>
    <phoneticPr fontId="2" type="noConversion"/>
  </si>
  <si>
    <t>Teached</t>
    <phoneticPr fontId="2" type="noConversion"/>
  </si>
  <si>
    <t>193.1 ± 1.9</t>
    <phoneticPr fontId="2" type="noConversion"/>
  </si>
  <si>
    <t>NX-Wafer</t>
    <phoneticPr fontId="2" type="noConversion"/>
  </si>
  <si>
    <t>D160033-140725</t>
    <phoneticPr fontId="2" type="noConversion"/>
  </si>
  <si>
    <t>Industrial Check List v3.21.1</t>
    <phoneticPr fontId="2" type="noConversion"/>
  </si>
  <si>
    <t>Samsung S4</t>
    <phoneticPr fontId="2" type="noConversion"/>
  </si>
  <si>
    <t>Myeongjin Baek</t>
    <phoneticPr fontId="2" type="noConversion"/>
  </si>
  <si>
    <t>3.0.3</t>
    <phoneticPr fontId="2" type="noConversion"/>
  </si>
  <si>
    <t>SHS12-1800 (Box)</t>
  </si>
  <si>
    <t>SHS12-1800 (Certification)</t>
  </si>
  <si>
    <t>SHS12-1800 (Sample)</t>
  </si>
  <si>
    <t>STS3-12-180P (Box)</t>
  </si>
  <si>
    <t>STS3-12-180P (Certification)</t>
  </si>
  <si>
    <t>STS3-12-180P (Sample)</t>
  </si>
  <si>
    <t>SHS12-180 (Box)</t>
    <phoneticPr fontId="2" type="noConversion"/>
  </si>
  <si>
    <t>SHS12-180 (Certification)</t>
    <phoneticPr fontId="2" type="noConversion"/>
  </si>
  <si>
    <t>SHS12-180 (Sample)</t>
    <phoneticPr fontId="2" type="noConversion"/>
  </si>
  <si>
    <t>SHS12-4500 (Box)</t>
    <phoneticPr fontId="2" type="noConversion"/>
  </si>
  <si>
    <t>SHS12-4500 (Certification)</t>
    <phoneticPr fontId="2" type="noConversion"/>
  </si>
  <si>
    <t>SHS12-4500 (Sample)</t>
    <phoneticPr fontId="2" type="noConversion"/>
  </si>
  <si>
    <t>32039-004</t>
    <phoneticPr fontId="2" type="noConversion"/>
  </si>
  <si>
    <t>Pass</t>
    <phoneticPr fontId="2" type="noConversion"/>
  </si>
  <si>
    <t>30907-008</t>
    <phoneticPr fontId="2" type="noConversion"/>
  </si>
  <si>
    <t>-75.0</t>
    <phoneticPr fontId="2" type="noConversion"/>
  </si>
  <si>
    <t>30658-023</t>
    <phoneticPr fontId="2" type="noConversion"/>
  </si>
  <si>
    <t>Pass</t>
    <phoneticPr fontId="2" type="noConversion"/>
  </si>
  <si>
    <t>13708-001-129</t>
    <phoneticPr fontId="2" type="noConversion"/>
  </si>
  <si>
    <t>Levi Baek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</si>
</sst>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
    <numFmt numFmtId="177" formatCode="0_);[Red]\(0\)"/>
    <numFmt numFmtId="178" formatCode="0.00000"/>
    <numFmt numFmtId="179" formatCode="0.0000"/>
    <numFmt numFmtId="180" formatCode="0.000"/>
    <numFmt numFmtId="181" formatCode="0.00_);[Red]\(0.00\)"/>
    <numFmt numFmtId="182" formatCode="0.00000_);[Red]\(0.00000\)"/>
    <numFmt numFmtId="183" formatCode="0.0%"/>
    <numFmt numFmtId="184" formatCode="[$-409]mmmm\ d\,\ yyyy;@"/>
    <numFmt numFmtId="185" formatCode="0.00_ "/>
    <numFmt numFmtId="186" formatCode="0.0_ "/>
  </numFmts>
  <fonts count="74">
    <font>
      <sz val="11"/>
      <color theme="1"/>
      <name val="맑은 고딕"/>
      <family val="2"/>
      <charset val="129"/>
    </font>
    <font>
      <sz val="10"/>
      <color theme="1"/>
      <name val="맑은 고딕"/>
      <family val="3"/>
      <charset val="129"/>
      <scheme val="minor"/>
    </font>
    <font>
      <sz val="8"/>
      <name val="맑은 고딕"/>
      <family val="2"/>
      <charset val="129"/>
    </font>
    <font>
      <sz val="10"/>
      <name val="맑은 고딕"/>
      <family val="3"/>
      <charset val="129"/>
      <scheme val="minor"/>
    </font>
    <font>
      <sz val="8"/>
      <name val="굴림"/>
      <family val="3"/>
      <charset val="129"/>
    </font>
    <font>
      <sz val="11"/>
      <name val="굴림"/>
      <family val="3"/>
      <charset val="129"/>
    </font>
    <font>
      <sz val="10"/>
      <color theme="1"/>
      <name val="맑은 고딕"/>
      <family val="3"/>
      <charset val="129"/>
    </font>
    <font>
      <sz val="10"/>
      <name val="맑은 고딕"/>
      <family val="3"/>
      <charset val="129"/>
    </font>
    <font>
      <sz val="10"/>
      <color theme="1"/>
      <name val="맑은 고딕"/>
      <family val="2"/>
      <charset val="129"/>
    </font>
    <font>
      <b/>
      <sz val="10"/>
      <color theme="0"/>
      <name val="맑은 고딕"/>
      <family val="3"/>
      <charset val="129"/>
      <scheme val="minor"/>
    </font>
    <font>
      <sz val="8"/>
      <name val="맑은 고딕"/>
      <family val="2"/>
      <charset val="129"/>
      <scheme val="minor"/>
    </font>
    <font>
      <b/>
      <sz val="10"/>
      <color theme="1"/>
      <name val="맑은 고딕"/>
      <family val="3"/>
      <charset val="129"/>
      <scheme val="minor"/>
    </font>
    <font>
      <b/>
      <sz val="10"/>
      <color theme="1"/>
      <name val="맑은 고딕"/>
      <family val="3"/>
      <charset val="129"/>
    </font>
    <font>
      <b/>
      <sz val="36"/>
      <color theme="1"/>
      <name val="맑은 고딕"/>
      <family val="1"/>
      <charset val="129"/>
    </font>
    <font>
      <b/>
      <sz val="36"/>
      <color theme="1"/>
      <name val="times"/>
      <family val="1"/>
    </font>
    <font>
      <b/>
      <sz val="36"/>
      <color theme="1"/>
      <name val="맑은 고딕"/>
      <family val="2"/>
      <charset val="129"/>
    </font>
    <font>
      <sz val="24"/>
      <color theme="1"/>
      <name val="Times New Roman"/>
      <family val="1"/>
    </font>
    <font>
      <sz val="22"/>
      <color theme="1"/>
      <name val="Times New Roman"/>
      <family val="1"/>
    </font>
    <font>
      <sz val="22"/>
      <color theme="1"/>
      <name val="맑은 고딕"/>
      <family val="2"/>
      <charset val="129"/>
    </font>
    <font>
      <sz val="20"/>
      <color theme="1"/>
      <name val="Times New Roman"/>
      <family val="1"/>
    </font>
    <font>
      <sz val="10"/>
      <color theme="1"/>
      <name val="Arial"/>
      <family val="2"/>
    </font>
    <font>
      <b/>
      <sz val="10"/>
      <color theme="1"/>
      <name val="Arial"/>
      <family val="2"/>
    </font>
    <font>
      <sz val="10"/>
      <name val="Arial"/>
      <family val="2"/>
    </font>
    <font>
      <b/>
      <sz val="10"/>
      <name val="Arial"/>
      <family val="2"/>
    </font>
    <font>
      <sz val="11"/>
      <color theme="1"/>
      <name val="Arial"/>
      <family val="2"/>
    </font>
    <font>
      <sz val="11"/>
      <name val="맑은 고딕"/>
      <family val="2"/>
      <charset val="129"/>
    </font>
    <font>
      <sz val="11"/>
      <name val="Arial"/>
      <family val="2"/>
    </font>
    <font>
      <sz val="10"/>
      <color rgb="FFFFC000"/>
      <name val="맑은 고딕"/>
      <family val="3"/>
      <charset val="129"/>
      <scheme val="minor"/>
    </font>
    <font>
      <sz val="11"/>
      <color rgb="FFFF0000"/>
      <name val="맑은 고딕"/>
      <family val="2"/>
      <charset val="129"/>
    </font>
    <font>
      <sz val="10"/>
      <name val="맑은 고딕"/>
      <family val="2"/>
      <charset val="129"/>
    </font>
    <font>
      <sz val="10"/>
      <name val="Arial Unicode MS"/>
      <family val="3"/>
      <charset val="129"/>
    </font>
    <font>
      <sz val="10"/>
      <color theme="1"/>
      <name val="Calibri"/>
      <family val="3"/>
      <charset val="161"/>
    </font>
    <font>
      <b/>
      <sz val="10"/>
      <color theme="0"/>
      <name val="맑은 고딕"/>
      <family val="3"/>
      <charset val="129"/>
      <scheme val="major"/>
    </font>
    <font>
      <b/>
      <sz val="10"/>
      <color theme="1"/>
      <name val="맑은 고딕"/>
      <family val="3"/>
      <charset val="129"/>
      <scheme val="major"/>
    </font>
    <font>
      <sz val="10"/>
      <color theme="1"/>
      <name val="맑은 고딕"/>
      <family val="3"/>
      <charset val="129"/>
      <scheme val="major"/>
    </font>
    <font>
      <b/>
      <sz val="10"/>
      <name val="맑은 고딕"/>
      <family val="3"/>
      <charset val="129"/>
      <scheme val="major"/>
    </font>
    <font>
      <sz val="10"/>
      <color theme="1"/>
      <name val="맑은 고딕"/>
      <family val="3"/>
      <charset val="161"/>
    </font>
    <font>
      <sz val="11"/>
      <color theme="1"/>
      <name val="맑은 고딕"/>
      <family val="2"/>
      <charset val="129"/>
    </font>
    <font>
      <sz val="10"/>
      <name val="Arial Unicode MS"/>
      <family val="2"/>
      <charset val="129"/>
    </font>
    <font>
      <b/>
      <sz val="18"/>
      <name val="맑은 고딕"/>
      <family val="3"/>
      <charset val="129"/>
    </font>
    <font>
      <sz val="18"/>
      <color theme="1"/>
      <name val="맑은 고딕"/>
      <family val="3"/>
      <charset val="129"/>
    </font>
    <font>
      <sz val="18"/>
      <color rgb="FF000000"/>
      <name val="맑은 고딕"/>
      <family val="3"/>
      <charset val="129"/>
    </font>
    <font>
      <sz val="18"/>
      <color theme="1"/>
      <name val="맑은 고딕"/>
      <family val="2"/>
      <charset val="129"/>
    </font>
    <font>
      <sz val="10"/>
      <color theme="1"/>
      <name val="Arial Unicode MS"/>
      <family val="2"/>
      <charset val="129"/>
    </font>
    <font>
      <sz val="10"/>
      <color rgb="FFFF0000"/>
      <name val="맑은 고딕"/>
      <family val="3"/>
      <charset val="129"/>
      <scheme val="minor"/>
    </font>
    <font>
      <vertAlign val="superscript"/>
      <sz val="10"/>
      <color theme="1"/>
      <name val="맑은 고딕"/>
      <family val="3"/>
      <charset val="129"/>
      <scheme val="minor"/>
    </font>
    <font>
      <sz val="15"/>
      <color theme="1"/>
      <name val="Arial"/>
      <family val="2"/>
    </font>
    <font>
      <sz val="15"/>
      <name val="Arial"/>
      <family val="2"/>
    </font>
    <font>
      <b/>
      <sz val="15"/>
      <color theme="1"/>
      <name val="Arial"/>
      <family val="2"/>
    </font>
    <font>
      <sz val="15"/>
      <color theme="1"/>
      <name val="맑은 고딕"/>
      <family val="3"/>
      <charset val="129"/>
      <scheme val="minor"/>
    </font>
    <font>
      <sz val="15"/>
      <color theme="1"/>
      <name val="맑은 고딕"/>
      <family val="2"/>
      <charset val="129"/>
    </font>
    <font>
      <sz val="15"/>
      <name val="맑은 고딕"/>
      <family val="3"/>
      <charset val="129"/>
    </font>
    <font>
      <b/>
      <sz val="15"/>
      <color rgb="FF0070C0"/>
      <name val="Arial"/>
      <family val="2"/>
    </font>
    <font>
      <sz val="15"/>
      <name val="맑은 고딕"/>
      <family val="3"/>
      <charset val="129"/>
      <scheme val="minor"/>
    </font>
    <font>
      <b/>
      <sz val="15"/>
      <color theme="1"/>
      <name val="맑은 고딕"/>
      <family val="3"/>
      <charset val="129"/>
      <scheme val="minor"/>
    </font>
    <font>
      <sz val="15"/>
      <color theme="1"/>
      <name val="Arial"/>
      <family val="2"/>
      <charset val="1"/>
    </font>
    <font>
      <sz val="15"/>
      <color rgb="FF000000"/>
      <name val="Arial"/>
      <family val="2"/>
      <charset val="1"/>
    </font>
    <font>
      <vertAlign val="superscript"/>
      <sz val="15"/>
      <color rgb="FF000000"/>
      <name val="Arial"/>
      <family val="2"/>
      <charset val="1"/>
    </font>
    <font>
      <b/>
      <sz val="15"/>
      <color theme="1"/>
      <name val="Arial"/>
      <family val="2"/>
      <charset val="1"/>
    </font>
    <font>
      <sz val="15"/>
      <color theme="1"/>
      <name val="맑은 고딕"/>
      <family val="3"/>
      <charset val="1"/>
    </font>
    <font>
      <sz val="15"/>
      <color rgb="FF000000"/>
      <name val="맑은 고딕"/>
      <family val="3"/>
      <charset val="129"/>
    </font>
    <font>
      <sz val="15"/>
      <color theme="1"/>
      <name val="맑은 고딕"/>
      <family val="3"/>
      <charset val="129"/>
    </font>
    <font>
      <sz val="15"/>
      <color rgb="FFFFC000"/>
      <name val="맑은 고딕"/>
      <family val="2"/>
      <charset val="129"/>
    </font>
    <font>
      <b/>
      <sz val="15"/>
      <name val="Arial"/>
      <family val="2"/>
    </font>
    <font>
      <sz val="15"/>
      <name val="맑은 고딕"/>
      <family val="2"/>
      <charset val="129"/>
    </font>
    <font>
      <sz val="15"/>
      <color theme="1"/>
      <name val="Arial"/>
      <family val="3"/>
      <charset val="161"/>
    </font>
    <font>
      <sz val="15"/>
      <name val="Calibri"/>
      <family val="3"/>
      <charset val="161"/>
    </font>
    <font>
      <sz val="15"/>
      <color rgb="FF000000"/>
      <name val="Arial"/>
      <family val="2"/>
    </font>
    <font>
      <sz val="15"/>
      <color rgb="FF000000"/>
      <name val="맑은 고딕"/>
      <family val="3"/>
      <charset val="129"/>
      <scheme val="minor"/>
    </font>
    <font>
      <b/>
      <sz val="15"/>
      <color theme="1"/>
      <name val="맑은 고딕"/>
      <family val="2"/>
      <charset val="129"/>
    </font>
    <font>
      <sz val="15"/>
      <color theme="1"/>
      <name val="Calibri"/>
      <family val="3"/>
      <charset val="161"/>
    </font>
    <font>
      <sz val="10"/>
      <color rgb="FFFF0000"/>
      <name val="맑은 고딕"/>
      <family val="3"/>
      <charset val="129"/>
    </font>
    <font>
      <sz val="11"/>
      <color theme="1"/>
      <name val="맑은 고딕"/>
      <family val="2"/>
      <scheme val="minor"/>
    </font>
    <font>
      <vertAlign val="superscript"/>
      <sz val="15"/>
      <name val="Arial"/>
      <family val="2"/>
    </font>
  </fonts>
  <fills count="10">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2"/>
        <bgColor indexed="64"/>
      </patternFill>
    </fill>
    <fill>
      <patternFill patternType="solid">
        <fgColor theme="7"/>
        <bgColor indexed="64"/>
      </patternFill>
    </fill>
    <fill>
      <patternFill patternType="solid">
        <fgColor rgb="FFFFC00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hair">
        <color indexed="64"/>
      </bottom>
      <diagonal/>
    </border>
    <border>
      <left/>
      <right/>
      <top/>
      <bottom style="thin">
        <color theme="0" tint="-0.249977111117893"/>
      </bottom>
      <diagonal/>
    </border>
    <border>
      <left/>
      <right/>
      <top/>
      <bottom style="medium">
        <color indexed="64"/>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6">
    <xf numFmtId="0" fontId="0" fillId="0" borderId="0">
      <alignment vertical="center"/>
    </xf>
    <xf numFmtId="0" fontId="5" fillId="0" borderId="0">
      <alignment vertical="center"/>
    </xf>
    <xf numFmtId="0" fontId="37" fillId="0" borderId="0">
      <alignment vertical="center"/>
    </xf>
    <xf numFmtId="9" fontId="37" fillId="0" borderId="0" applyFont="0" applyFill="0" applyBorder="0" applyAlignment="0" applyProtection="0">
      <alignment vertical="center"/>
    </xf>
    <xf numFmtId="9" fontId="37" fillId="0" borderId="0" applyBorder="0" applyProtection="0">
      <alignment vertical="center"/>
    </xf>
    <xf numFmtId="0" fontId="72" fillId="0" borderId="0"/>
  </cellStyleXfs>
  <cellXfs count="270">
    <xf numFmtId="0" fontId="0" fillId="0" borderId="0" xfId="0">
      <alignment vertical="center"/>
    </xf>
    <xf numFmtId="0" fontId="0" fillId="0" borderId="0" xfId="0" applyAlignment="1">
      <alignment horizontal="center" vertical="center"/>
    </xf>
    <xf numFmtId="0" fontId="8" fillId="0" borderId="0" xfId="0" applyFont="1">
      <alignment vertical="center"/>
    </xf>
    <xf numFmtId="0" fontId="9" fillId="5" borderId="6" xfId="0" applyFont="1" applyFill="1" applyBorder="1" applyAlignment="1">
      <alignment horizontal="center" vertical="center"/>
    </xf>
    <xf numFmtId="14" fontId="9" fillId="5" borderId="6" xfId="0" applyNumberFormat="1" applyFont="1" applyFill="1" applyBorder="1" applyAlignment="1">
      <alignment horizontal="center" vertical="center"/>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0" fontId="12" fillId="0" borderId="0" xfId="0" applyFont="1">
      <alignment vertical="center"/>
    </xf>
    <xf numFmtId="0" fontId="1" fillId="0" borderId="0" xfId="0" applyFont="1">
      <alignment vertical="center"/>
    </xf>
    <xf numFmtId="0" fontId="3" fillId="0" borderId="0" xfId="0" applyFont="1" applyAlignment="1">
      <alignment horizontal="center" vertical="center" shrinkToFit="1"/>
    </xf>
    <xf numFmtId="0" fontId="1" fillId="0" borderId="0" xfId="0" applyFont="1" applyAlignment="1">
      <alignment horizontal="center" vertical="center"/>
    </xf>
    <xf numFmtId="0" fontId="0" fillId="6" borderId="0" xfId="0" applyFill="1">
      <alignment vertical="center"/>
    </xf>
    <xf numFmtId="0" fontId="17" fillId="0" borderId="0" xfId="0" applyFont="1" applyAlignment="1">
      <alignment vertical="center" wrapText="1"/>
    </xf>
    <xf numFmtId="0" fontId="18" fillId="0" borderId="0" xfId="0" applyFont="1">
      <alignment vertical="center"/>
    </xf>
    <xf numFmtId="0" fontId="6" fillId="0" borderId="0" xfId="0" applyFont="1">
      <alignment vertical="center"/>
    </xf>
    <xf numFmtId="0" fontId="6" fillId="0" borderId="6" xfId="0" applyFont="1" applyBorder="1">
      <alignment vertical="center"/>
    </xf>
    <xf numFmtId="0" fontId="1" fillId="0" borderId="14" xfId="0" applyFont="1" applyBorder="1" applyAlignment="1">
      <alignment horizontal="center" vertical="center" wrapText="1"/>
    </xf>
    <xf numFmtId="14" fontId="1" fillId="0" borderId="14" xfId="0" applyNumberFormat="1" applyFont="1" applyBorder="1" applyAlignment="1">
      <alignment horizontal="center" vertical="center" wrapText="1"/>
    </xf>
    <xf numFmtId="0" fontId="1" fillId="0" borderId="14" xfId="0" applyFont="1" applyBorder="1" applyAlignment="1">
      <alignment horizontal="left" vertical="center" wrapText="1"/>
    </xf>
    <xf numFmtId="0" fontId="3" fillId="0" borderId="0" xfId="0" applyFont="1">
      <alignment vertical="center"/>
    </xf>
    <xf numFmtId="0" fontId="0" fillId="0" borderId="6" xfId="0" applyBorder="1">
      <alignment vertical="center"/>
    </xf>
    <xf numFmtId="0" fontId="20" fillId="0" borderId="0" xfId="0" applyFont="1">
      <alignment vertical="center"/>
    </xf>
    <xf numFmtId="0" fontId="21" fillId="0" borderId="0" xfId="0" applyFont="1">
      <alignment vertical="center"/>
    </xf>
    <xf numFmtId="0" fontId="3" fillId="0" borderId="0" xfId="0" applyFont="1" applyProtection="1">
      <alignment vertical="center"/>
      <protection locked="0"/>
    </xf>
    <xf numFmtId="0" fontId="25" fillId="0" borderId="0" xfId="0" applyFont="1">
      <alignment vertical="center"/>
    </xf>
    <xf numFmtId="0" fontId="1" fillId="0" borderId="0" xfId="0" applyFont="1" applyAlignment="1">
      <alignment horizontal="left" vertical="center"/>
    </xf>
    <xf numFmtId="0" fontId="1" fillId="0" borderId="6" xfId="0" applyFont="1" applyBorder="1">
      <alignment vertical="center"/>
    </xf>
    <xf numFmtId="0" fontId="1" fillId="0" borderId="0" xfId="0" quotePrefix="1" applyFont="1">
      <alignment vertical="center"/>
    </xf>
    <xf numFmtId="0" fontId="27" fillId="0" borderId="0" xfId="0" applyFont="1" applyProtection="1">
      <alignment vertical="center"/>
      <protection locked="0"/>
    </xf>
    <xf numFmtId="0" fontId="1" fillId="0" borderId="0" xfId="0" quotePrefix="1" applyFont="1" applyAlignment="1">
      <alignment horizontal="center" vertical="center"/>
    </xf>
    <xf numFmtId="0" fontId="28" fillId="0" borderId="0" xfId="0" applyFont="1">
      <alignment vertical="center"/>
    </xf>
    <xf numFmtId="0" fontId="24" fillId="0" borderId="0" xfId="0" applyFont="1">
      <alignment vertical="center"/>
    </xf>
    <xf numFmtId="0" fontId="24" fillId="0" borderId="0" xfId="0" applyFont="1" applyAlignment="1">
      <alignment horizontal="center" vertical="center" shrinkToFit="1"/>
    </xf>
    <xf numFmtId="176" fontId="24" fillId="0" borderId="0" xfId="0" applyNumberFormat="1" applyFont="1">
      <alignment vertical="center"/>
    </xf>
    <xf numFmtId="178" fontId="24" fillId="0" borderId="0" xfId="0" applyNumberFormat="1" applyFont="1">
      <alignment vertical="center"/>
    </xf>
    <xf numFmtId="179" fontId="24" fillId="0" borderId="0" xfId="0" applyNumberFormat="1" applyFont="1">
      <alignment vertical="center"/>
    </xf>
    <xf numFmtId="180" fontId="24" fillId="0" borderId="0" xfId="0" applyNumberFormat="1" applyFont="1">
      <alignment vertical="center"/>
    </xf>
    <xf numFmtId="2" fontId="24" fillId="0" borderId="0" xfId="0" applyNumberFormat="1" applyFont="1">
      <alignment vertical="center"/>
    </xf>
    <xf numFmtId="176" fontId="0" fillId="0" borderId="0" xfId="0" applyNumberFormat="1">
      <alignment vertical="center"/>
    </xf>
    <xf numFmtId="2" fontId="0" fillId="0" borderId="0" xfId="0" applyNumberFormat="1">
      <alignment vertical="center"/>
    </xf>
    <xf numFmtId="180" fontId="0" fillId="0" borderId="0" xfId="0" applyNumberFormat="1">
      <alignment vertical="center"/>
    </xf>
    <xf numFmtId="181" fontId="24" fillId="0" borderId="0" xfId="0" applyNumberFormat="1" applyFont="1">
      <alignment vertical="center"/>
    </xf>
    <xf numFmtId="182" fontId="24" fillId="0" borderId="0" xfId="0" applyNumberFormat="1" applyFont="1">
      <alignment vertical="center"/>
    </xf>
    <xf numFmtId="0" fontId="22" fillId="0" borderId="0" xfId="0" applyFont="1">
      <alignment vertical="center"/>
    </xf>
    <xf numFmtId="1" fontId="0" fillId="0" borderId="0" xfId="0" applyNumberFormat="1">
      <alignment vertical="center"/>
    </xf>
    <xf numFmtId="0" fontId="0" fillId="0" borderId="0" xfId="0" quotePrefix="1">
      <alignment vertical="center"/>
    </xf>
    <xf numFmtId="0" fontId="0" fillId="2" borderId="0" xfId="0" applyFill="1">
      <alignment vertical="center"/>
    </xf>
    <xf numFmtId="0" fontId="13" fillId="0" borderId="0" xfId="0" applyFont="1" applyAlignment="1">
      <alignment horizontal="center" vertical="center"/>
    </xf>
    <xf numFmtId="0" fontId="16" fillId="0" borderId="0" xfId="0" applyFont="1" applyAlignment="1">
      <alignment vertical="distributed" wrapText="1"/>
    </xf>
    <xf numFmtId="0" fontId="26" fillId="0" borderId="0" xfId="0" applyFont="1">
      <alignment vertical="center"/>
    </xf>
    <xf numFmtId="180" fontId="26" fillId="0" borderId="0" xfId="0" applyNumberFormat="1" applyFont="1">
      <alignment vertical="center"/>
    </xf>
    <xf numFmtId="2" fontId="26" fillId="0" borderId="0" xfId="0" applyNumberFormat="1" applyFont="1">
      <alignment vertical="center"/>
    </xf>
    <xf numFmtId="176" fontId="26" fillId="0" borderId="0" xfId="0" applyNumberFormat="1" applyFont="1">
      <alignment vertical="center"/>
    </xf>
    <xf numFmtId="1" fontId="25" fillId="0" borderId="0" xfId="0" applyNumberFormat="1" applyFont="1">
      <alignment vertical="center"/>
    </xf>
    <xf numFmtId="0" fontId="26" fillId="0" borderId="0" xfId="0" applyFont="1" applyAlignment="1">
      <alignment horizontal="center" vertical="center" shrinkToFit="1"/>
    </xf>
    <xf numFmtId="176" fontId="25" fillId="0" borderId="0" xfId="0" applyNumberFormat="1" applyFont="1">
      <alignment vertical="center"/>
    </xf>
    <xf numFmtId="180" fontId="25" fillId="0" borderId="0" xfId="0" applyNumberFormat="1" applyFont="1">
      <alignment vertical="center"/>
    </xf>
    <xf numFmtId="179" fontId="26" fillId="0" borderId="0" xfId="0" applyNumberFormat="1" applyFont="1">
      <alignment vertical="center"/>
    </xf>
    <xf numFmtId="182" fontId="26" fillId="0" borderId="0" xfId="0" applyNumberFormat="1" applyFont="1">
      <alignment vertical="center"/>
    </xf>
    <xf numFmtId="178" fontId="26" fillId="0" borderId="0" xfId="0" applyNumberFormat="1" applyFont="1">
      <alignment vertical="center"/>
    </xf>
    <xf numFmtId="2" fontId="25" fillId="0" borderId="0" xfId="0" applyNumberFormat="1" applyFont="1">
      <alignment vertical="center"/>
    </xf>
    <xf numFmtId="0" fontId="25" fillId="0" borderId="0" xfId="0" quotePrefix="1" applyFont="1">
      <alignment vertical="center"/>
    </xf>
    <xf numFmtId="0" fontId="25" fillId="6" borderId="0" xfId="0" applyFont="1" applyFill="1">
      <alignment vertical="center"/>
    </xf>
    <xf numFmtId="0" fontId="1" fillId="0" borderId="6" xfId="0" quotePrefix="1" applyFont="1" applyBorder="1" applyAlignment="1">
      <alignment horizontal="center" vertical="center"/>
    </xf>
    <xf numFmtId="0" fontId="22" fillId="0" borderId="0" xfId="0" applyFont="1" applyProtection="1">
      <alignment vertical="center"/>
      <protection locked="0"/>
    </xf>
    <xf numFmtId="0" fontId="20" fillId="0" borderId="0" xfId="0" applyFont="1" applyProtection="1">
      <alignment vertical="center"/>
      <protection locked="0"/>
    </xf>
    <xf numFmtId="0" fontId="32" fillId="5" borderId="6" xfId="0" applyFont="1" applyFill="1" applyBorder="1" applyAlignment="1">
      <alignment horizontal="left" vertical="center"/>
    </xf>
    <xf numFmtId="0" fontId="33" fillId="0" borderId="14" xfId="0" applyFont="1" applyBorder="1" applyAlignment="1">
      <alignment horizontal="left" vertical="center" wrapText="1"/>
    </xf>
    <xf numFmtId="0" fontId="33" fillId="0" borderId="0" xfId="0" applyFont="1">
      <alignment vertical="center"/>
    </xf>
    <xf numFmtId="0" fontId="33" fillId="0" borderId="0" xfId="0" applyFont="1" applyAlignment="1">
      <alignment horizontal="right" vertical="center"/>
    </xf>
    <xf numFmtId="0" fontId="33" fillId="0" borderId="6" xfId="0" applyFont="1" applyBorder="1">
      <alignment vertical="center"/>
    </xf>
    <xf numFmtId="0" fontId="33" fillId="0" borderId="0" xfId="0" applyFont="1" applyAlignment="1">
      <alignment horizontal="left" vertical="center" shrinkToFit="1"/>
    </xf>
    <xf numFmtId="0" fontId="33" fillId="0" borderId="0" xfId="0" applyFont="1" applyAlignment="1">
      <alignment horizontal="left" vertical="center"/>
    </xf>
    <xf numFmtId="0" fontId="33" fillId="0" borderId="6" xfId="0" applyFont="1" applyBorder="1" applyAlignment="1">
      <alignment horizontal="right" vertical="center"/>
    </xf>
    <xf numFmtId="0" fontId="33" fillId="0" borderId="0" xfId="0" applyFont="1" applyAlignment="1">
      <alignment vertical="center" shrinkToFit="1"/>
    </xf>
    <xf numFmtId="0" fontId="34" fillId="0" borderId="0" xfId="0" applyFont="1" applyProtection="1">
      <alignment vertical="center"/>
      <protection locked="0"/>
    </xf>
    <xf numFmtId="0" fontId="34" fillId="0" borderId="0" xfId="0" applyFont="1">
      <alignment vertical="center"/>
    </xf>
    <xf numFmtId="0" fontId="1" fillId="0" borderId="0" xfId="0" applyFont="1" applyProtection="1">
      <alignment vertical="center"/>
      <protection locked="0"/>
    </xf>
    <xf numFmtId="0" fontId="1" fillId="0" borderId="0" xfId="0" applyFont="1" applyAlignment="1" applyProtection="1">
      <alignment horizontal="left" vertical="center"/>
      <protection locked="0"/>
    </xf>
    <xf numFmtId="0" fontId="11" fillId="0" borderId="0" xfId="0" applyFont="1">
      <alignment vertical="center"/>
    </xf>
    <xf numFmtId="0" fontId="35" fillId="0" borderId="0" xfId="0" applyFont="1">
      <alignment vertical="center"/>
    </xf>
    <xf numFmtId="14" fontId="8" fillId="0" borderId="0" xfId="0" applyNumberFormat="1" applyFont="1" applyAlignment="1">
      <alignment horizontal="center" vertical="center"/>
    </xf>
    <xf numFmtId="0" fontId="36" fillId="0" borderId="0" xfId="0" applyFont="1">
      <alignment vertical="center"/>
    </xf>
    <xf numFmtId="0" fontId="1" fillId="6" borderId="0" xfId="0" applyFont="1" applyFill="1">
      <alignment vertical="center"/>
    </xf>
    <xf numFmtId="0" fontId="33" fillId="0" borderId="0" xfId="2" applyFont="1" applyAlignment="1">
      <alignment horizontal="right" vertical="center"/>
    </xf>
    <xf numFmtId="0" fontId="33" fillId="7" borderId="0" xfId="0" applyFont="1" applyFill="1">
      <alignment vertical="center"/>
    </xf>
    <xf numFmtId="0" fontId="1" fillId="0" borderId="0" xfId="2" applyFont="1">
      <alignment vertical="center"/>
    </xf>
    <xf numFmtId="0" fontId="6" fillId="0" borderId="0" xfId="0" applyFont="1" applyAlignment="1">
      <alignment horizontal="center" vertical="center"/>
    </xf>
    <xf numFmtId="14" fontId="6" fillId="0" borderId="0" xfId="0" applyNumberFormat="1" applyFont="1" applyAlignment="1">
      <alignment horizontal="center" vertical="center"/>
    </xf>
    <xf numFmtId="0" fontId="1" fillId="6" borderId="6" xfId="0" applyFont="1" applyFill="1" applyBorder="1">
      <alignment vertical="center"/>
    </xf>
    <xf numFmtId="0" fontId="8" fillId="0" borderId="0" xfId="0" applyFont="1" applyAlignment="1">
      <alignment horizontal="right" vertical="center"/>
    </xf>
    <xf numFmtId="0" fontId="9" fillId="5" borderId="0" xfId="0" applyFont="1" applyFill="1" applyAlignment="1">
      <alignment horizontal="center" vertical="center"/>
    </xf>
    <xf numFmtId="0" fontId="20" fillId="6" borderId="0" xfId="0" applyFont="1" applyFill="1">
      <alignment vertical="center"/>
    </xf>
    <xf numFmtId="0" fontId="1" fillId="6" borderId="0" xfId="0" quotePrefix="1" applyFont="1" applyFill="1">
      <alignment vertical="center"/>
    </xf>
    <xf numFmtId="14" fontId="8" fillId="0" borderId="0" xfId="0" applyNumberFormat="1" applyFont="1">
      <alignment vertical="center"/>
    </xf>
    <xf numFmtId="0" fontId="7" fillId="0" borderId="0" xfId="0" applyFont="1">
      <alignment vertical="center"/>
    </xf>
    <xf numFmtId="0" fontId="44" fillId="0" borderId="0" xfId="0" applyFont="1">
      <alignment vertical="center"/>
    </xf>
    <xf numFmtId="0" fontId="1" fillId="6" borderId="0" xfId="0" applyFont="1" applyFill="1" applyProtection="1">
      <alignment vertical="center"/>
      <protection locked="0"/>
    </xf>
    <xf numFmtId="0" fontId="34" fillId="0" borderId="6" xfId="0" applyFont="1" applyBorder="1">
      <alignment vertical="center"/>
    </xf>
    <xf numFmtId="0" fontId="8" fillId="0" borderId="6" xfId="0" applyFont="1" applyBorder="1">
      <alignment vertical="center"/>
    </xf>
    <xf numFmtId="14" fontId="0" fillId="0" borderId="0" xfId="0" applyNumberFormat="1" applyAlignment="1">
      <alignment horizontal="center" vertical="center"/>
    </xf>
    <xf numFmtId="14" fontId="0" fillId="0" borderId="0" xfId="0" applyNumberFormat="1">
      <alignment vertical="center"/>
    </xf>
    <xf numFmtId="0" fontId="46" fillId="2" borderId="1" xfId="0" applyFont="1" applyFill="1" applyBorder="1" applyAlignment="1">
      <alignment horizontal="center" vertical="center"/>
    </xf>
    <xf numFmtId="0" fontId="47" fillId="2" borderId="1" xfId="0" applyFont="1" applyFill="1" applyBorder="1" applyAlignment="1">
      <alignment horizontal="center" vertical="center" shrinkToFit="1"/>
    </xf>
    <xf numFmtId="0" fontId="46" fillId="4" borderId="1" xfId="0" applyFont="1" applyFill="1" applyBorder="1" applyAlignment="1">
      <alignment horizontal="center" vertical="center"/>
    </xf>
    <xf numFmtId="0" fontId="48" fillId="2" borderId="1" xfId="0" applyFont="1" applyFill="1" applyBorder="1" applyAlignment="1">
      <alignment horizontal="center" vertical="center"/>
    </xf>
    <xf numFmtId="0" fontId="49" fillId="2" borderId="1" xfId="0" applyFont="1" applyFill="1" applyBorder="1" applyAlignment="1">
      <alignment horizontal="center" vertical="center"/>
    </xf>
    <xf numFmtId="0" fontId="50" fillId="0" borderId="0" xfId="0" applyFont="1" applyAlignment="1">
      <alignment horizontal="center" vertical="center"/>
    </xf>
    <xf numFmtId="0" fontId="46" fillId="0" borderId="1" xfId="0" applyFont="1" applyBorder="1" applyAlignment="1">
      <alignment horizontal="center" vertical="center"/>
    </xf>
    <xf numFmtId="0" fontId="46" fillId="0" borderId="1" xfId="0" applyFont="1" applyBorder="1">
      <alignment vertical="center"/>
    </xf>
    <xf numFmtId="0" fontId="47" fillId="0" borderId="1" xfId="0" applyFont="1" applyBorder="1" applyAlignment="1">
      <alignment horizontal="center" vertical="center" shrinkToFit="1"/>
    </xf>
    <xf numFmtId="0" fontId="48" fillId="0" borderId="1" xfId="0" applyFont="1" applyBorder="1">
      <alignment vertical="center"/>
    </xf>
    <xf numFmtId="0" fontId="49" fillId="0" borderId="1" xfId="0" applyFont="1" applyBorder="1">
      <alignment vertical="center"/>
    </xf>
    <xf numFmtId="0" fontId="50" fillId="0" borderId="0" xfId="0" applyFont="1">
      <alignment vertical="center"/>
    </xf>
    <xf numFmtId="0" fontId="47" fillId="0" borderId="0" xfId="0" applyFont="1" applyAlignment="1">
      <alignment horizontal="center" vertical="center" shrinkToFit="1"/>
    </xf>
    <xf numFmtId="0" fontId="49" fillId="3" borderId="1" xfId="0" applyFont="1" applyFill="1" applyBorder="1">
      <alignment vertical="center"/>
    </xf>
    <xf numFmtId="177" fontId="47" fillId="2" borderId="1" xfId="0" applyNumberFormat="1" applyFont="1" applyFill="1" applyBorder="1" applyAlignment="1">
      <alignment horizontal="center" vertical="center"/>
    </xf>
    <xf numFmtId="0" fontId="46" fillId="0" borderId="1" xfId="0" quotePrefix="1" applyFont="1" applyBorder="1" applyAlignment="1">
      <alignment horizontal="center" vertical="center"/>
    </xf>
    <xf numFmtId="0" fontId="46" fillId="2" borderId="1" xfId="0" quotePrefix="1" applyFont="1" applyFill="1" applyBorder="1" applyAlignment="1">
      <alignment horizontal="center" vertical="center"/>
    </xf>
    <xf numFmtId="0" fontId="47" fillId="0" borderId="1" xfId="0" quotePrefix="1" applyFont="1" applyBorder="1" applyAlignment="1">
      <alignment horizontal="center" vertical="center" shrinkToFit="1"/>
    </xf>
    <xf numFmtId="2" fontId="46" fillId="2" borderId="1" xfId="0" applyNumberFormat="1" applyFont="1" applyFill="1" applyBorder="1" applyAlignment="1">
      <alignment horizontal="center" vertical="center"/>
    </xf>
    <xf numFmtId="0" fontId="52" fillId="0" borderId="1" xfId="0" applyFont="1" applyBorder="1">
      <alignment vertical="center"/>
    </xf>
    <xf numFmtId="0" fontId="46" fillId="6" borderId="1" xfId="0" applyFont="1" applyFill="1" applyBorder="1" applyAlignment="1">
      <alignment horizontal="center" vertical="center"/>
    </xf>
    <xf numFmtId="176" fontId="46" fillId="0" borderId="1" xfId="0" applyNumberFormat="1" applyFont="1" applyBorder="1" applyAlignment="1">
      <alignment horizontal="center" vertical="center"/>
    </xf>
    <xf numFmtId="0" fontId="53" fillId="0" borderId="1" xfId="0" applyFont="1" applyBorder="1" applyProtection="1">
      <alignment vertical="center"/>
      <protection locked="0"/>
    </xf>
    <xf numFmtId="176" fontId="46" fillId="2" borderId="1" xfId="0" quotePrefix="1" applyNumberFormat="1" applyFont="1" applyFill="1" applyBorder="1" applyAlignment="1">
      <alignment horizontal="center" vertical="center"/>
    </xf>
    <xf numFmtId="180" fontId="46" fillId="2" borderId="1" xfId="0" applyNumberFormat="1" applyFont="1" applyFill="1" applyBorder="1" applyAlignment="1">
      <alignment horizontal="center" vertical="center"/>
    </xf>
    <xf numFmtId="0" fontId="47" fillId="0" borderId="1" xfId="0" applyFont="1" applyBorder="1">
      <alignment vertical="center"/>
    </xf>
    <xf numFmtId="0" fontId="49" fillId="0" borderId="1" xfId="0" applyFont="1" applyBorder="1" applyAlignment="1">
      <alignment horizontal="center" vertical="center"/>
    </xf>
    <xf numFmtId="1" fontId="46" fillId="0" borderId="1" xfId="0" applyNumberFormat="1" applyFont="1" applyBorder="1" applyAlignment="1">
      <alignment horizontal="center" vertical="center"/>
    </xf>
    <xf numFmtId="176" fontId="46" fillId="2" borderId="1" xfId="0" applyNumberFormat="1" applyFont="1" applyFill="1" applyBorder="1" applyAlignment="1">
      <alignment horizontal="center" vertical="center"/>
    </xf>
    <xf numFmtId="2" fontId="46" fillId="2" borderId="1" xfId="0" quotePrefix="1" applyNumberFormat="1" applyFont="1" applyFill="1" applyBorder="1" applyAlignment="1">
      <alignment horizontal="center" vertical="center"/>
    </xf>
    <xf numFmtId="0" fontId="47" fillId="0" borderId="1" xfId="0" applyFont="1" applyBorder="1" applyAlignment="1">
      <alignment horizontal="center" vertical="center"/>
    </xf>
    <xf numFmtId="0" fontId="49" fillId="0" borderId="3" xfId="0" applyFont="1" applyBorder="1">
      <alignment vertical="center"/>
    </xf>
    <xf numFmtId="0" fontId="46" fillId="0" borderId="2" xfId="0" applyFont="1" applyBorder="1" applyAlignment="1">
      <alignment horizontal="center" vertical="center"/>
    </xf>
    <xf numFmtId="0" fontId="46" fillId="2" borderId="1" xfId="0" applyFont="1" applyFill="1" applyBorder="1" applyAlignment="1">
      <alignment horizontal="center" vertical="center" shrinkToFit="1"/>
    </xf>
    <xf numFmtId="0" fontId="55" fillId="0" borderId="1" xfId="0" applyFont="1" applyBorder="1" applyAlignment="1">
      <alignment horizontal="center" vertical="center"/>
    </xf>
    <xf numFmtId="0" fontId="58" fillId="0" borderId="1" xfId="0" applyFont="1" applyBorder="1">
      <alignment vertical="center"/>
    </xf>
    <xf numFmtId="0" fontId="59" fillId="0" borderId="1" xfId="0" applyFont="1" applyBorder="1">
      <alignment vertical="center"/>
    </xf>
    <xf numFmtId="0" fontId="55" fillId="0" borderId="1" xfId="0" applyFont="1" applyBorder="1" applyAlignment="1">
      <alignment horizontal="center" vertical="center" shrinkToFit="1"/>
    </xf>
    <xf numFmtId="0" fontId="55" fillId="0" borderId="2" xfId="0" applyFont="1" applyBorder="1" applyAlignment="1">
      <alignment horizontal="center" vertical="center"/>
    </xf>
    <xf numFmtId="2" fontId="55" fillId="0" borderId="1" xfId="0" applyNumberFormat="1" applyFont="1" applyBorder="1" applyAlignment="1">
      <alignment horizontal="center" vertical="center" shrinkToFit="1"/>
    </xf>
    <xf numFmtId="176" fontId="55" fillId="0" borderId="1" xfId="0" applyNumberFormat="1" applyFont="1" applyBorder="1" applyAlignment="1">
      <alignment horizontal="center" vertical="center" shrinkToFit="1"/>
    </xf>
    <xf numFmtId="2" fontId="55" fillId="0" borderId="1" xfId="0" applyNumberFormat="1" applyFont="1" applyBorder="1" applyAlignment="1">
      <alignment horizontal="center" vertical="center"/>
    </xf>
    <xf numFmtId="0" fontId="61" fillId="0" borderId="1" xfId="0" applyFont="1" applyBorder="1" applyAlignment="1">
      <alignment horizontal="center" vertical="center"/>
    </xf>
    <xf numFmtId="0" fontId="51" fillId="0" borderId="1" xfId="0" applyFont="1" applyBorder="1" applyAlignment="1">
      <alignment horizontal="center" vertical="center"/>
    </xf>
    <xf numFmtId="0" fontId="62" fillId="0" borderId="0" xfId="0" applyFont="1">
      <alignment vertical="center"/>
    </xf>
    <xf numFmtId="0" fontId="48" fillId="3" borderId="1" xfId="0" applyFont="1" applyFill="1" applyBorder="1">
      <alignment vertical="center"/>
    </xf>
    <xf numFmtId="0" fontId="46" fillId="0" borderId="1" xfId="0" applyFont="1" applyBorder="1" applyAlignment="1" applyProtection="1">
      <alignment horizontal="center" vertical="center"/>
      <protection locked="0"/>
    </xf>
    <xf numFmtId="0" fontId="47" fillId="4" borderId="1" xfId="0" applyFont="1" applyFill="1" applyBorder="1" applyAlignment="1">
      <alignment horizontal="center" vertical="center"/>
    </xf>
    <xf numFmtId="0" fontId="63" fillId="3" borderId="1" xfId="0" applyFont="1" applyFill="1" applyBorder="1">
      <alignment vertical="center"/>
    </xf>
    <xf numFmtId="0" fontId="53" fillId="3" borderId="1" xfId="0" applyFont="1" applyFill="1" applyBorder="1">
      <alignment vertical="center"/>
    </xf>
    <xf numFmtId="0" fontId="49" fillId="3" borderId="3" xfId="0" applyFont="1" applyFill="1" applyBorder="1">
      <alignment vertical="center"/>
    </xf>
    <xf numFmtId="0" fontId="46" fillId="0" borderId="1" xfId="0" quotePrefix="1" applyFont="1" applyBorder="1" applyAlignment="1" applyProtection="1">
      <alignment horizontal="center" vertical="center"/>
      <protection locked="0"/>
    </xf>
    <xf numFmtId="0" fontId="63" fillId="0" borderId="1" xfId="0" applyFont="1" applyBorder="1">
      <alignment vertical="center"/>
    </xf>
    <xf numFmtId="0" fontId="53" fillId="0" borderId="1" xfId="0" applyFont="1" applyBorder="1">
      <alignment vertical="center"/>
    </xf>
    <xf numFmtId="0" fontId="64" fillId="0" borderId="0" xfId="0" applyFont="1">
      <alignment vertical="center"/>
    </xf>
    <xf numFmtId="181" fontId="46" fillId="2" borderId="1" xfId="0" applyNumberFormat="1" applyFont="1" applyFill="1" applyBorder="1" applyAlignment="1">
      <alignment horizontal="center" vertical="center"/>
    </xf>
    <xf numFmtId="176" fontId="46" fillId="0" borderId="1" xfId="0" applyNumberFormat="1" applyFont="1" applyBorder="1" applyAlignment="1" applyProtection="1">
      <alignment horizontal="center" vertical="center"/>
      <protection locked="0"/>
    </xf>
    <xf numFmtId="2" fontId="46" fillId="0" borderId="1" xfId="0" applyNumberFormat="1" applyFont="1" applyBorder="1" applyAlignment="1" applyProtection="1">
      <alignment horizontal="center" vertical="center"/>
      <protection locked="0"/>
    </xf>
    <xf numFmtId="177" fontId="47" fillId="0" borderId="1" xfId="0" applyNumberFormat="1" applyFont="1" applyBorder="1" applyAlignment="1">
      <alignment horizontal="center" vertical="center" shrinkToFit="1"/>
    </xf>
    <xf numFmtId="0" fontId="50" fillId="6" borderId="0" xfId="0" applyFont="1" applyFill="1">
      <alignment vertical="center"/>
    </xf>
    <xf numFmtId="0" fontId="47" fillId="0" borderId="1" xfId="0" applyFont="1" applyBorder="1" applyAlignment="1" applyProtection="1">
      <alignment vertical="center" wrapText="1"/>
      <protection locked="0"/>
    </xf>
    <xf numFmtId="0" fontId="50" fillId="3" borderId="0" xfId="0" applyFont="1" applyFill="1">
      <alignment vertical="center"/>
    </xf>
    <xf numFmtId="180" fontId="46" fillId="0" borderId="1" xfId="0" applyNumberFormat="1" applyFont="1" applyBorder="1" applyAlignment="1">
      <alignment horizontal="center" vertical="center"/>
    </xf>
    <xf numFmtId="179" fontId="46" fillId="2" borderId="1" xfId="0" applyNumberFormat="1" applyFont="1" applyFill="1" applyBorder="1" applyAlignment="1">
      <alignment horizontal="center" vertical="center"/>
    </xf>
    <xf numFmtId="178" fontId="46" fillId="2" borderId="1" xfId="0" applyNumberFormat="1" applyFont="1" applyFill="1" applyBorder="1" applyAlignment="1">
      <alignment horizontal="center" vertical="center"/>
    </xf>
    <xf numFmtId="0" fontId="46" fillId="3" borderId="1" xfId="0" applyFont="1" applyFill="1" applyBorder="1" applyAlignment="1">
      <alignment horizontal="center" vertical="center"/>
    </xf>
    <xf numFmtId="0" fontId="46" fillId="0" borderId="1" xfId="0" applyFont="1" applyBorder="1" applyAlignment="1">
      <alignment vertical="center" shrinkToFit="1"/>
    </xf>
    <xf numFmtId="0" fontId="46" fillId="0" borderId="1" xfId="0" applyFont="1" applyBorder="1" applyAlignment="1" applyProtection="1">
      <alignment vertical="center" wrapText="1"/>
      <protection locked="0"/>
    </xf>
    <xf numFmtId="0" fontId="65" fillId="0" borderId="1" xfId="0" applyFont="1" applyBorder="1" applyAlignment="1">
      <alignment horizontal="center" vertical="center"/>
    </xf>
    <xf numFmtId="0" fontId="49" fillId="6" borderId="1" xfId="0" applyFont="1" applyFill="1" applyBorder="1">
      <alignment vertical="center"/>
    </xf>
    <xf numFmtId="0" fontId="46" fillId="0" borderId="0" xfId="0" applyFont="1" applyAlignment="1">
      <alignment horizontal="center" vertical="center"/>
    </xf>
    <xf numFmtId="2" fontId="46" fillId="0" borderId="1" xfId="0" applyNumberFormat="1" applyFont="1" applyBorder="1" applyAlignment="1">
      <alignment horizontal="center" vertical="center"/>
    </xf>
    <xf numFmtId="0" fontId="47" fillId="0" borderId="4" xfId="0" applyFont="1" applyBorder="1" applyAlignment="1">
      <alignment horizontal="center" vertical="center" shrinkToFit="1"/>
    </xf>
    <xf numFmtId="0" fontId="49" fillId="0" borderId="1" xfId="0" applyFont="1" applyBorder="1" applyAlignment="1">
      <alignment vertical="center" wrapText="1"/>
    </xf>
    <xf numFmtId="0" fontId="46" fillId="4" borderId="2" xfId="0" applyFont="1" applyFill="1" applyBorder="1" applyAlignment="1">
      <alignment horizontal="center" vertical="center"/>
    </xf>
    <xf numFmtId="0" fontId="46" fillId="0" borderId="1" xfId="0" applyFont="1" applyBorder="1" applyAlignment="1">
      <alignment vertical="center" wrapText="1"/>
    </xf>
    <xf numFmtId="177" fontId="46" fillId="2" borderId="1" xfId="0" applyNumberFormat="1" applyFont="1" applyFill="1" applyBorder="1" applyAlignment="1">
      <alignment horizontal="center" vertical="center"/>
    </xf>
    <xf numFmtId="4" fontId="46" fillId="2" borderId="1" xfId="0" applyNumberFormat="1" applyFont="1" applyFill="1" applyBorder="1" applyAlignment="1">
      <alignment horizontal="center" vertical="center"/>
    </xf>
    <xf numFmtId="0" fontId="68" fillId="6" borderId="1" xfId="0" applyFont="1" applyFill="1" applyBorder="1">
      <alignment vertical="center"/>
    </xf>
    <xf numFmtId="0" fontId="48" fillId="0" borderId="2" xfId="0" applyFont="1" applyBorder="1">
      <alignment vertical="center"/>
    </xf>
    <xf numFmtId="0" fontId="47" fillId="2" borderId="1" xfId="0" applyFont="1" applyFill="1" applyBorder="1" applyAlignment="1">
      <alignment horizontal="center" vertical="center"/>
    </xf>
    <xf numFmtId="0" fontId="46" fillId="0" borderId="0" xfId="0" applyFont="1">
      <alignment vertical="center"/>
    </xf>
    <xf numFmtId="0" fontId="47" fillId="2" borderId="0" xfId="0" applyFont="1" applyFill="1" applyAlignment="1">
      <alignment horizontal="center" vertical="center" shrinkToFit="1"/>
    </xf>
    <xf numFmtId="0" fontId="69" fillId="0" borderId="0" xfId="0" applyFont="1" applyAlignment="1">
      <alignment horizontal="right" vertical="center"/>
    </xf>
    <xf numFmtId="183" fontId="48" fillId="0" borderId="0" xfId="3" applyNumberFormat="1" applyFont="1" applyBorder="1" applyAlignment="1">
      <alignment horizontal="center" vertical="center"/>
    </xf>
    <xf numFmtId="0" fontId="46" fillId="4" borderId="0" xfId="0" applyFont="1" applyFill="1" applyAlignment="1">
      <alignment horizontal="center" vertical="center"/>
    </xf>
    <xf numFmtId="0" fontId="48" fillId="0" borderId="0" xfId="0" applyFont="1">
      <alignment vertical="center"/>
    </xf>
    <xf numFmtId="0" fontId="49" fillId="0" borderId="0" xfId="0" applyFont="1">
      <alignment vertical="center"/>
    </xf>
    <xf numFmtId="0" fontId="46" fillId="2" borderId="1" xfId="0" applyFont="1" applyFill="1" applyBorder="1" applyAlignment="1">
      <alignment horizontal="center" vertical="center" wrapText="1"/>
    </xf>
    <xf numFmtId="0" fontId="47" fillId="0" borderId="1" xfId="0" applyFont="1" applyBorder="1" applyAlignment="1">
      <alignment vertical="center" wrapText="1"/>
    </xf>
    <xf numFmtId="0" fontId="46" fillId="0" borderId="1" xfId="0" applyFont="1" applyBorder="1" applyAlignment="1">
      <alignment vertical="center" wrapText="1" shrinkToFit="1"/>
    </xf>
    <xf numFmtId="0" fontId="46" fillId="0" borderId="1" xfId="0" quotePrefix="1" applyFont="1" applyBorder="1" applyAlignment="1">
      <alignment vertical="center" wrapText="1"/>
    </xf>
    <xf numFmtId="0" fontId="46" fillId="0" borderId="0" xfId="0" applyFont="1" applyAlignment="1">
      <alignment vertical="center" wrapText="1"/>
    </xf>
    <xf numFmtId="0" fontId="1" fillId="8" borderId="0" xfId="0" applyFont="1" applyFill="1">
      <alignment vertical="center"/>
    </xf>
    <xf numFmtId="14" fontId="6" fillId="0" borderId="0" xfId="0" applyNumberFormat="1" applyFont="1">
      <alignment vertical="center"/>
    </xf>
    <xf numFmtId="0" fontId="1" fillId="9" borderId="0" xfId="0" applyFont="1" applyFill="1">
      <alignment vertical="center"/>
    </xf>
    <xf numFmtId="176" fontId="47" fillId="0" borderId="1" xfId="0" applyNumberFormat="1" applyFont="1" applyBorder="1" applyAlignment="1">
      <alignment horizontal="center" vertical="center" shrinkToFit="1"/>
    </xf>
    <xf numFmtId="0" fontId="67" fillId="0" borderId="1" xfId="0" applyFont="1" applyBorder="1" applyAlignment="1">
      <alignment horizontal="center" vertical="center"/>
    </xf>
    <xf numFmtId="176" fontId="46" fillId="0" borderId="1" xfId="0" quotePrefix="1" applyNumberFormat="1" applyFont="1" applyBorder="1" applyAlignment="1">
      <alignment horizontal="center" vertical="center"/>
    </xf>
    <xf numFmtId="0" fontId="55" fillId="0" borderId="1" xfId="0" applyFont="1" applyBorder="1">
      <alignment vertical="center"/>
    </xf>
    <xf numFmtId="0" fontId="55" fillId="0" borderId="1" xfId="0" applyFont="1" applyBorder="1" applyAlignment="1">
      <alignment vertical="center" wrapText="1"/>
    </xf>
    <xf numFmtId="0" fontId="56" fillId="0" borderId="1" xfId="0" applyFont="1" applyBorder="1" applyAlignment="1">
      <alignment vertical="center" wrapText="1"/>
    </xf>
    <xf numFmtId="0" fontId="56" fillId="0" borderId="1" xfId="0" applyFont="1" applyBorder="1" applyAlignment="1">
      <alignment horizontal="center" vertical="center"/>
    </xf>
    <xf numFmtId="0" fontId="51" fillId="0" borderId="1" xfId="0" applyFont="1" applyBorder="1" applyAlignment="1">
      <alignment horizontal="center" vertical="center" wrapText="1"/>
    </xf>
    <xf numFmtId="0" fontId="60" fillId="0" borderId="1" xfId="0" applyFont="1" applyBorder="1" applyAlignment="1">
      <alignment horizontal="center" vertical="center"/>
    </xf>
    <xf numFmtId="0" fontId="60" fillId="0" borderId="1" xfId="0" applyFont="1" applyBorder="1" applyAlignment="1">
      <alignment horizontal="center" vertical="center" wrapText="1"/>
    </xf>
    <xf numFmtId="0" fontId="71" fillId="0" borderId="0" xfId="0" applyFont="1">
      <alignment vertical="center"/>
    </xf>
    <xf numFmtId="0" fontId="46" fillId="0" borderId="1" xfId="0" applyFont="1" applyBorder="1" applyAlignment="1" applyProtection="1">
      <alignment horizontal="left" vertical="center" wrapText="1"/>
      <protection locked="0"/>
    </xf>
    <xf numFmtId="0" fontId="67" fillId="0" borderId="1" xfId="0" applyFont="1" applyBorder="1" applyAlignment="1">
      <alignment vertical="center" wrapText="1"/>
    </xf>
    <xf numFmtId="0" fontId="46" fillId="0" borderId="2" xfId="0" applyFont="1" applyBorder="1" applyAlignment="1">
      <alignment vertical="center" wrapText="1"/>
    </xf>
    <xf numFmtId="0" fontId="46" fillId="0" borderId="1" xfId="0" applyFont="1" applyBorder="1" applyAlignment="1">
      <alignment horizontal="center" vertical="center" shrinkToFit="1"/>
    </xf>
    <xf numFmtId="0" fontId="46" fillId="2" borderId="1" xfId="0" quotePrefix="1" applyFont="1" applyFill="1" applyBorder="1" applyAlignment="1">
      <alignment horizontal="center" vertical="center" shrinkToFit="1"/>
    </xf>
    <xf numFmtId="176" fontId="49" fillId="0" borderId="1" xfId="0" applyNumberFormat="1" applyFont="1" applyBorder="1" applyAlignment="1">
      <alignment horizontal="center" vertical="center"/>
    </xf>
    <xf numFmtId="176" fontId="47" fillId="2" borderId="1" xfId="0" applyNumberFormat="1" applyFont="1" applyFill="1" applyBorder="1" applyAlignment="1">
      <alignment horizontal="center" vertical="center"/>
    </xf>
    <xf numFmtId="176" fontId="47" fillId="0" borderId="1" xfId="0" applyNumberFormat="1" applyFont="1" applyBorder="1" applyAlignment="1">
      <alignment horizontal="center" vertical="center"/>
    </xf>
    <xf numFmtId="2" fontId="47" fillId="2" borderId="1" xfId="0" applyNumberFormat="1" applyFont="1" applyFill="1" applyBorder="1" applyAlignment="1">
      <alignment horizontal="center" vertical="center"/>
    </xf>
    <xf numFmtId="0" fontId="47" fillId="0" borderId="2" xfId="0" applyFont="1" applyBorder="1" applyAlignment="1">
      <alignment horizontal="center" vertical="center"/>
    </xf>
    <xf numFmtId="0" fontId="47" fillId="0" borderId="1" xfId="0" applyFont="1" applyBorder="1" applyAlignment="1" applyProtection="1">
      <alignment horizontal="center" vertical="center"/>
      <protection locked="0"/>
    </xf>
    <xf numFmtId="0" fontId="47" fillId="0" borderId="1" xfId="0" quotePrefix="1" applyFont="1" applyBorder="1" applyAlignment="1" applyProtection="1">
      <alignment horizontal="center" vertical="center"/>
      <protection locked="0"/>
    </xf>
    <xf numFmtId="0" fontId="47" fillId="0" borderId="1" xfId="0" quotePrefix="1" applyFont="1" applyBorder="1" applyAlignment="1">
      <alignment horizontal="center" vertical="center"/>
    </xf>
    <xf numFmtId="185" fontId="47" fillId="2" borderId="1" xfId="0" quotePrefix="1" applyNumberFormat="1" applyFont="1" applyFill="1" applyBorder="1" applyAlignment="1">
      <alignment horizontal="center" vertical="center"/>
    </xf>
    <xf numFmtId="181" fontId="47" fillId="2" borderId="1" xfId="0" applyNumberFormat="1" applyFont="1" applyFill="1" applyBorder="1" applyAlignment="1">
      <alignment horizontal="center" vertical="center"/>
    </xf>
    <xf numFmtId="1" fontId="46" fillId="2" borderId="1" xfId="0" applyNumberFormat="1" applyFont="1" applyFill="1" applyBorder="1" applyAlignment="1">
      <alignment horizontal="center" vertical="center"/>
    </xf>
    <xf numFmtId="2" fontId="47" fillId="0" borderId="1" xfId="0" applyNumberFormat="1" applyFont="1" applyBorder="1" applyAlignment="1" applyProtection="1">
      <alignment horizontal="center" vertical="center"/>
      <protection locked="0"/>
    </xf>
    <xf numFmtId="0" fontId="47" fillId="2" borderId="1" xfId="0" quotePrefix="1" applyFont="1" applyFill="1" applyBorder="1" applyAlignment="1">
      <alignment horizontal="center" vertical="center"/>
    </xf>
    <xf numFmtId="0" fontId="47" fillId="0" borderId="1" xfId="0" applyFont="1" applyBorder="1" applyAlignment="1" applyProtection="1">
      <alignment horizontal="left" vertical="center" wrapText="1"/>
      <protection locked="0"/>
    </xf>
    <xf numFmtId="180" fontId="47" fillId="2" borderId="1" xfId="0" applyNumberFormat="1" applyFont="1" applyFill="1" applyBorder="1" applyAlignment="1">
      <alignment horizontal="center" vertical="center"/>
    </xf>
    <xf numFmtId="180" fontId="46" fillId="2" borderId="1" xfId="0" quotePrefix="1" applyNumberFormat="1" applyFont="1" applyFill="1" applyBorder="1" applyAlignment="1">
      <alignment horizontal="center" vertical="center"/>
    </xf>
    <xf numFmtId="186" fontId="46" fillId="2" borderId="1" xfId="0" quotePrefix="1" applyNumberFormat="1" applyFont="1" applyFill="1" applyBorder="1" applyAlignment="1">
      <alignment horizontal="center" vertical="center"/>
    </xf>
    <xf numFmtId="0" fontId="47" fillId="2" borderId="1" xfId="0" quotePrefix="1" applyFont="1" applyFill="1" applyBorder="1" applyAlignment="1">
      <alignment horizontal="center" vertical="center" shrinkToFit="1"/>
    </xf>
    <xf numFmtId="0" fontId="42" fillId="0" borderId="0" xfId="0" applyFont="1" applyAlignment="1">
      <alignment horizontal="center" vertical="center"/>
    </xf>
    <xf numFmtId="0" fontId="0" fillId="0" borderId="0" xfId="0" applyAlignment="1">
      <alignment horizontal="center" vertical="center"/>
    </xf>
    <xf numFmtId="0" fontId="41" fillId="0" borderId="0" xfId="0" applyFont="1" applyAlignment="1">
      <alignment horizontal="center" vertical="center" wrapText="1" readingOrder="1"/>
    </xf>
    <xf numFmtId="0" fontId="39" fillId="0" borderId="0" xfId="0" applyFont="1" applyAlignment="1">
      <alignment horizontal="center" vertical="center"/>
    </xf>
    <xf numFmtId="0" fontId="40" fillId="0" borderId="0" xfId="0" applyFont="1" applyAlignment="1">
      <alignment horizontal="center" vertical="center"/>
    </xf>
    <xf numFmtId="0" fontId="49" fillId="0" borderId="15" xfId="0" applyFont="1" applyBorder="1" applyAlignment="1">
      <alignment vertical="center" wrapText="1"/>
    </xf>
    <xf numFmtId="0" fontId="49" fillId="0" borderId="17" xfId="0" applyFont="1" applyBorder="1" applyAlignment="1">
      <alignment vertical="center" wrapText="1"/>
    </xf>
    <xf numFmtId="0" fontId="49" fillId="0" borderId="16" xfId="0" applyFont="1" applyBorder="1" applyAlignment="1">
      <alignment vertical="center" wrapText="1"/>
    </xf>
    <xf numFmtId="0" fontId="13" fillId="0" borderId="0" xfId="0" applyFont="1" applyAlignment="1">
      <alignment horizontal="center" vertical="center"/>
    </xf>
    <xf numFmtId="0" fontId="16" fillId="0" borderId="0" xfId="0" applyFont="1" applyAlignment="1">
      <alignment vertical="distributed" wrapText="1"/>
    </xf>
    <xf numFmtId="0" fontId="19" fillId="0" borderId="7" xfId="0" applyFont="1" applyBorder="1" applyAlignment="1">
      <alignment horizontal="right" vertical="center" indent="1"/>
    </xf>
    <xf numFmtId="0" fontId="19" fillId="0" borderId="8" xfId="0" applyFont="1" applyBorder="1" applyAlignment="1">
      <alignment horizontal="right" vertical="center" indent="1"/>
    </xf>
    <xf numFmtId="0" fontId="19" fillId="0" borderId="10" xfId="0" applyFont="1" applyBorder="1" applyAlignment="1">
      <alignment horizontal="right" vertical="center" indent="1"/>
    </xf>
    <xf numFmtId="0" fontId="19" fillId="0" borderId="0" xfId="0" applyFont="1" applyAlignment="1">
      <alignment horizontal="right" vertical="center" indent="1"/>
    </xf>
    <xf numFmtId="0" fontId="19" fillId="0" borderId="12" xfId="0" applyFont="1" applyBorder="1" applyAlignment="1">
      <alignment horizontal="right" vertical="center" indent="1"/>
    </xf>
    <xf numFmtId="0" fontId="19" fillId="0" borderId="5" xfId="0" applyFont="1" applyBorder="1" applyAlignment="1">
      <alignment horizontal="right" vertical="center" indent="1"/>
    </xf>
    <xf numFmtId="0" fontId="19" fillId="0" borderId="7" xfId="0" applyFont="1" applyBorder="1" applyAlignment="1">
      <alignment horizontal="left" vertical="center" indent="3"/>
    </xf>
    <xf numFmtId="0" fontId="19" fillId="0" borderId="8" xfId="0" applyFont="1" applyBorder="1" applyAlignment="1">
      <alignment horizontal="left" vertical="center" indent="3"/>
    </xf>
    <xf numFmtId="0" fontId="19" fillId="0" borderId="9" xfId="0" applyFont="1" applyBorder="1" applyAlignment="1">
      <alignment horizontal="left" vertical="center" indent="3"/>
    </xf>
    <xf numFmtId="0" fontId="19" fillId="0" borderId="10" xfId="0" applyFont="1" applyBorder="1" applyAlignment="1">
      <alignment horizontal="left" vertical="center" indent="3"/>
    </xf>
    <xf numFmtId="0" fontId="19" fillId="0" borderId="0" xfId="0" applyFont="1" applyAlignment="1">
      <alignment horizontal="left" vertical="center" indent="3"/>
    </xf>
    <xf numFmtId="0" fontId="19" fillId="0" borderId="11" xfId="0" applyFont="1" applyBorder="1" applyAlignment="1">
      <alignment horizontal="left" vertical="center" indent="3"/>
    </xf>
    <xf numFmtId="0" fontId="19" fillId="0" borderId="12" xfId="0" applyFont="1" applyBorder="1" applyAlignment="1">
      <alignment horizontal="left" vertical="center" indent="3"/>
    </xf>
    <xf numFmtId="0" fontId="19" fillId="0" borderId="5" xfId="0" applyFont="1" applyBorder="1" applyAlignment="1">
      <alignment horizontal="left" vertical="center" indent="3"/>
    </xf>
    <xf numFmtId="0" fontId="19" fillId="0" borderId="13" xfId="0" applyFont="1" applyBorder="1" applyAlignment="1">
      <alignment horizontal="left" vertical="center" indent="3"/>
    </xf>
    <xf numFmtId="0" fontId="19" fillId="0" borderId="9" xfId="0" applyFont="1" applyBorder="1" applyAlignment="1">
      <alignment horizontal="right" vertical="center" indent="1"/>
    </xf>
    <xf numFmtId="0" fontId="19" fillId="0" borderId="11" xfId="0" applyFont="1" applyBorder="1" applyAlignment="1">
      <alignment horizontal="right" vertical="center" indent="1"/>
    </xf>
    <xf numFmtId="0" fontId="19" fillId="0" borderId="13" xfId="0" applyFont="1" applyBorder="1" applyAlignment="1">
      <alignment horizontal="right" vertical="center" indent="1"/>
    </xf>
    <xf numFmtId="184" fontId="19" fillId="0" borderId="7" xfId="0" applyNumberFormat="1" applyFont="1" applyBorder="1" applyAlignment="1">
      <alignment horizontal="left" vertical="center" indent="3"/>
    </xf>
    <xf numFmtId="184" fontId="19" fillId="0" borderId="8" xfId="0" applyNumberFormat="1" applyFont="1" applyBorder="1" applyAlignment="1">
      <alignment horizontal="left" vertical="center" indent="3"/>
    </xf>
    <xf numFmtId="184" fontId="19" fillId="0" borderId="9" xfId="0" applyNumberFormat="1" applyFont="1" applyBorder="1" applyAlignment="1">
      <alignment horizontal="left" vertical="center" indent="3"/>
    </xf>
    <xf numFmtId="184" fontId="19" fillId="0" borderId="10" xfId="0" applyNumberFormat="1" applyFont="1" applyBorder="1" applyAlignment="1">
      <alignment horizontal="left" vertical="center" indent="3"/>
    </xf>
    <xf numFmtId="184" fontId="19" fillId="0" borderId="0" xfId="0" applyNumberFormat="1" applyFont="1" applyAlignment="1">
      <alignment horizontal="left" vertical="center" indent="3"/>
    </xf>
    <xf numFmtId="184" fontId="19" fillId="0" borderId="11" xfId="0" applyNumberFormat="1" applyFont="1" applyBorder="1" applyAlignment="1">
      <alignment horizontal="left" vertical="center" indent="3"/>
    </xf>
    <xf numFmtId="184" fontId="19" fillId="0" borderId="12" xfId="0" applyNumberFormat="1" applyFont="1" applyBorder="1" applyAlignment="1">
      <alignment horizontal="left" vertical="center" indent="3"/>
    </xf>
    <xf numFmtId="184" fontId="19" fillId="0" borderId="5" xfId="0" applyNumberFormat="1" applyFont="1" applyBorder="1" applyAlignment="1">
      <alignment horizontal="left" vertical="center" indent="3"/>
    </xf>
    <xf numFmtId="184" fontId="19" fillId="0" borderId="13" xfId="0" applyNumberFormat="1" applyFont="1" applyBorder="1" applyAlignment="1">
      <alignment horizontal="left" vertical="center" indent="3"/>
    </xf>
    <xf numFmtId="2" fontId="46" fillId="0" borderId="1" xfId="0" quotePrefix="1" applyNumberFormat="1" applyFont="1" applyBorder="1" applyAlignment="1">
      <alignment horizontal="center" vertical="center"/>
    </xf>
  </cellXfs>
  <cellStyles count="6">
    <cellStyle name="백분율" xfId="3" builtinId="5"/>
    <cellStyle name="백분율 2" xfId="4" xr:uid="{00000000-0005-0000-0000-000002000000}"/>
    <cellStyle name="표준" xfId="0" builtinId="0"/>
    <cellStyle name="표준 144" xfId="1" xr:uid="{00000000-0005-0000-0000-000003000000}"/>
    <cellStyle name="표준 2" xfId="5" xr:uid="{00000000-0005-0000-0000-000004000000}"/>
    <cellStyle name="표준 2 2" xfId="2" xr:uid="{00000000-0005-0000-0000-000005000000}"/>
  </cellStyles>
  <dxfs count="38">
    <dxf>
      <font>
        <color rgb="FFFF0000"/>
      </font>
    </dxf>
    <dxf>
      <font>
        <color rgb="FFFF0000"/>
      </font>
    </dxf>
    <dxf>
      <font>
        <color rgb="FFFF0000"/>
      </font>
    </dxf>
    <dxf>
      <font>
        <b val="0"/>
        <i val="0"/>
        <sz val="11"/>
        <color rgb="FFFF0000"/>
        <name val="맑은 고딕"/>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sz val="11"/>
        <color rgb="FFFFFFFF"/>
        <name val="맑은 고딕"/>
      </font>
      <fill>
        <patternFill>
          <bgColor rgb="FFFF0000"/>
        </patternFill>
      </fill>
    </dxf>
    <dxf>
      <font>
        <sz val="11"/>
        <color rgb="FF000000"/>
        <name val="맑은 고딕"/>
      </font>
      <fill>
        <patternFill>
          <bgColor rgb="FFFF0000"/>
        </patternFill>
      </fill>
    </dxf>
    <dxf>
      <font>
        <color auto="1"/>
      </font>
      <fill>
        <patternFill>
          <bgColor rgb="FFFF0000"/>
        </patternFill>
      </fill>
    </dxf>
    <dxf>
      <font>
        <color rgb="FFFF0000"/>
      </font>
    </dxf>
    <dxf>
      <fill>
        <patternFill>
          <bgColor rgb="FFFF0000"/>
        </patternFill>
      </fill>
    </dxf>
    <dxf>
      <font>
        <color auto="1"/>
      </font>
      <fill>
        <patternFill>
          <bgColor rgb="FFFF0000"/>
        </patternFill>
      </fill>
    </dxf>
    <dxf>
      <font>
        <color rgb="FFFF0000"/>
      </font>
    </dxf>
    <dxf>
      <font>
        <b val="0"/>
        <i val="0"/>
        <color rgb="FFFF0000"/>
      </font>
    </dxf>
    <dxf>
      <font>
        <color rgb="FFFF0000"/>
      </font>
    </dxf>
    <dxf>
      <font>
        <b val="0"/>
        <i val="0"/>
        <sz val="11"/>
        <color rgb="FFFF0000"/>
        <name val="맑은 고딕"/>
      </font>
    </dxf>
    <dxf>
      <font>
        <b val="0"/>
        <i val="0"/>
        <sz val="11"/>
        <color rgb="FFFF0000"/>
        <name val="맑은 고딕"/>
      </font>
    </dxf>
    <dxf>
      <font>
        <b val="0"/>
        <i val="0"/>
        <sz val="11"/>
        <color rgb="FFFF0000"/>
        <name val="맑은 고딕"/>
      </font>
    </dxf>
    <dxf>
      <font>
        <b/>
        <i val="0"/>
        <color auto="1"/>
      </font>
    </dxf>
    <dxf>
      <font>
        <b/>
        <i val="0"/>
        <color rgb="FFC00000"/>
      </font>
    </dxf>
    <dxf>
      <font>
        <b/>
        <i val="0"/>
        <color rgb="FFFF0000"/>
      </font>
    </dxf>
    <dxf>
      <font>
        <b/>
        <i val="0"/>
        <color auto="1"/>
      </font>
    </dxf>
    <dxf>
      <font>
        <b/>
        <i val="0"/>
        <color auto="1"/>
      </font>
    </dxf>
    <dxf>
      <font>
        <b/>
        <i val="0"/>
        <color rgb="FFC00000"/>
      </font>
    </dxf>
    <dxf>
      <font>
        <b/>
        <i val="0"/>
        <color rgb="FFFF0000"/>
      </font>
    </dxf>
    <dxf>
      <font>
        <b/>
        <i val="0"/>
        <color auto="1"/>
      </font>
    </dxf>
    <dxf>
      <font>
        <b/>
        <i val="0"/>
        <color auto="1"/>
      </font>
    </dxf>
    <dxf>
      <font>
        <b/>
        <i val="0"/>
        <color rgb="FFC00000"/>
      </font>
    </dxf>
    <dxf>
      <font>
        <b/>
        <i val="0"/>
        <color rgb="FFFF0000"/>
      </font>
    </dxf>
    <dxf>
      <font>
        <b/>
        <i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28212</xdr:colOff>
      <xdr:row>0</xdr:row>
      <xdr:rowOff>166508</xdr:rowOff>
    </xdr:from>
    <xdr:to>
      <xdr:col>23</xdr:col>
      <xdr:colOff>515142</xdr:colOff>
      <xdr:row>42</xdr:row>
      <xdr:rowOff>23990</xdr:rowOff>
    </xdr:to>
    <xdr:grpSp>
      <xdr:nvGrpSpPr>
        <xdr:cNvPr id="2" name="그룹 1">
          <a:extLst>
            <a:ext uri="{FF2B5EF4-FFF2-40B4-BE49-F238E27FC236}">
              <a16:creationId xmlns:a16="http://schemas.microsoft.com/office/drawing/2014/main" id="{00000000-0008-0000-0000-000002000000}"/>
            </a:ext>
          </a:extLst>
        </xdr:cNvPr>
        <xdr:cNvGrpSpPr/>
      </xdr:nvGrpSpPr>
      <xdr:grpSpPr>
        <a:xfrm>
          <a:off x="28212" y="166508"/>
          <a:ext cx="15999073" cy="9001482"/>
          <a:chOff x="38116" y="180948"/>
          <a:chExt cx="15814563" cy="8947713"/>
        </a:xfrm>
      </xdr:grpSpPr>
      <xdr:pic>
        <xdr:nvPicPr>
          <xdr:cNvPr id="3" name="그래픽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8116" y="180948"/>
            <a:ext cx="15814563" cy="8947713"/>
          </a:xfrm>
          <a:prstGeom prst="rect">
            <a:avLst/>
          </a:prstGeom>
        </xdr:spPr>
      </xdr:pic>
      <xdr:sp macro="" textlink="">
        <xdr:nvSpPr>
          <xdr:cNvPr id="4" name="직사각형 3">
            <a:extLst>
              <a:ext uri="{FF2B5EF4-FFF2-40B4-BE49-F238E27FC236}">
                <a16:creationId xmlns:a16="http://schemas.microsoft.com/office/drawing/2014/main" id="{00000000-0008-0000-0000-000004000000}"/>
              </a:ext>
            </a:extLst>
          </xdr:cNvPr>
          <xdr:cNvSpPr/>
        </xdr:nvSpPr>
        <xdr:spPr>
          <a:xfrm>
            <a:off x="11811000" y="4968875"/>
            <a:ext cx="3401060" cy="119443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12</xdr:col>
      <xdr:colOff>109129</xdr:colOff>
      <xdr:row>20</xdr:row>
      <xdr:rowOff>193947</xdr:rowOff>
    </xdr:from>
    <xdr:to>
      <xdr:col>22</xdr:col>
      <xdr:colOff>498322</xdr:colOff>
      <xdr:row>27</xdr:row>
      <xdr:rowOff>118870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8197215" y="4548233"/>
          <a:ext cx="7138336" cy="1448923"/>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algn="r"/>
          <a:r>
            <a:rPr lang="en-US" altLang="ko-KR" sz="4400" b="1">
              <a:solidFill>
                <a:srgbClr val="013B82"/>
              </a:solidFill>
              <a:latin typeface="Arial" panose="020B0604020202020204" pitchFamily="34" charset="0"/>
              <a:cs typeface="Arial" panose="020B0604020202020204" pitchFamily="34" charset="0"/>
            </a:rPr>
            <a:t>Park </a:t>
          </a:r>
          <a:r>
            <a:rPr lang="en-US" altLang="ko-KR" sz="4400" b="1">
              <a:solidFill>
                <a:srgbClr val="14B1E7"/>
              </a:solidFill>
              <a:latin typeface="Arial" panose="020B0604020202020204" pitchFamily="34" charset="0"/>
              <a:cs typeface="Arial" panose="020B0604020202020204" pitchFamily="34" charset="0"/>
            </a:rPr>
            <a:t>NX-Wafer</a:t>
          </a:r>
        </a:p>
        <a:p>
          <a:pPr algn="r"/>
          <a:r>
            <a:rPr lang="en-US" altLang="ko-KR" sz="2400" b="1">
              <a:solidFill>
                <a:schemeClr val="tx1">
                  <a:lumMod val="50000"/>
                  <a:lumOff val="50000"/>
                </a:schemeClr>
              </a:solidFill>
              <a:latin typeface="Arial" panose="020B0604020202020204" pitchFamily="34" charset="0"/>
              <a:cs typeface="Arial" panose="020B0604020202020204" pitchFamily="34" charset="0"/>
            </a:rPr>
            <a:t>END USER: Samsung S4</a:t>
          </a:r>
        </a:p>
        <a:p>
          <a:pPr algn="r"/>
          <a:r>
            <a:rPr lang="en-US" altLang="ko-KR" sz="2400" b="1">
              <a:solidFill>
                <a:schemeClr val="tx1">
                  <a:lumMod val="50000"/>
                  <a:lumOff val="50000"/>
                </a:schemeClr>
              </a:solidFill>
              <a:latin typeface="Arial" panose="020B0604020202020204" pitchFamily="34" charset="0"/>
              <a:cs typeface="Arial" panose="020B0604020202020204" pitchFamily="34" charset="0"/>
            </a:rPr>
            <a:t>SID No. : D160033-140725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562</xdr:row>
      <xdr:rowOff>0</xdr:rowOff>
    </xdr:from>
    <xdr:to>
      <xdr:col>21</xdr:col>
      <xdr:colOff>322303</xdr:colOff>
      <xdr:row>569</xdr:row>
      <xdr:rowOff>19435</xdr:rowOff>
    </xdr:to>
    <xdr:pic>
      <xdr:nvPicPr>
        <xdr:cNvPr id="2" name="그림 1">
          <a:extLst>
            <a:ext uri="{FF2B5EF4-FFF2-40B4-BE49-F238E27FC236}">
              <a16:creationId xmlns:a16="http://schemas.microsoft.com/office/drawing/2014/main" id="{67D3D9D0-2680-962B-845F-B83DBD6B5F4F}"/>
            </a:ext>
          </a:extLst>
        </xdr:cNvPr>
        <xdr:cNvPicPr>
          <a:picLocks noChangeAspect="1"/>
        </xdr:cNvPicPr>
      </xdr:nvPicPr>
      <xdr:blipFill>
        <a:blip xmlns:r="http://schemas.openxmlformats.org/officeDocument/2006/relationships" r:embed="rId1"/>
        <a:stretch>
          <a:fillRect/>
        </a:stretch>
      </xdr:blipFill>
      <xdr:spPr>
        <a:xfrm>
          <a:off x="27412627" y="171611441"/>
          <a:ext cx="6428571" cy="3123809"/>
        </a:xfrm>
        <a:prstGeom prst="rect">
          <a:avLst/>
        </a:prstGeom>
      </xdr:spPr>
    </xdr:pic>
    <xdr:clientData/>
  </xdr:twoCellAnchor>
  <xdr:twoCellAnchor editAs="oneCell">
    <xdr:from>
      <xdr:col>13</xdr:col>
      <xdr:colOff>0</xdr:colOff>
      <xdr:row>262</xdr:row>
      <xdr:rowOff>0</xdr:rowOff>
    </xdr:from>
    <xdr:to>
      <xdr:col>22</xdr:col>
      <xdr:colOff>440789</xdr:colOff>
      <xdr:row>290</xdr:row>
      <xdr:rowOff>186691</xdr:rowOff>
    </xdr:to>
    <xdr:pic>
      <xdr:nvPicPr>
        <xdr:cNvPr id="3" name="그림 2">
          <a:extLst>
            <a:ext uri="{FF2B5EF4-FFF2-40B4-BE49-F238E27FC236}">
              <a16:creationId xmlns:a16="http://schemas.microsoft.com/office/drawing/2014/main" id="{E2CBC154-745B-65D2-F8DE-C0DF7253F7FA}"/>
            </a:ext>
          </a:extLst>
        </xdr:cNvPr>
        <xdr:cNvPicPr>
          <a:picLocks noChangeAspect="1"/>
        </xdr:cNvPicPr>
      </xdr:nvPicPr>
      <xdr:blipFill>
        <a:blip xmlns:r="http://schemas.openxmlformats.org/officeDocument/2006/relationships" r:embed="rId2"/>
        <a:stretch>
          <a:fillRect/>
        </a:stretch>
      </xdr:blipFill>
      <xdr:spPr>
        <a:xfrm>
          <a:off x="28130500" y="84328000"/>
          <a:ext cx="6595844" cy="6858000"/>
        </a:xfrm>
        <a:prstGeom prst="rect">
          <a:avLst/>
        </a:prstGeom>
        <a:solidFill>
          <a:schemeClr val="bg1"/>
        </a:solid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727</xdr:row>
      <xdr:rowOff>0</xdr:rowOff>
    </xdr:from>
    <xdr:to>
      <xdr:col>5</xdr:col>
      <xdr:colOff>398879</xdr:colOff>
      <xdr:row>758</xdr:row>
      <xdr:rowOff>59055</xdr:rowOff>
    </xdr:to>
    <xdr:pic>
      <xdr:nvPicPr>
        <xdr:cNvPr id="4" name="그림 3">
          <a:extLst>
            <a:ext uri="{FF2B5EF4-FFF2-40B4-BE49-F238E27FC236}">
              <a16:creationId xmlns:a16="http://schemas.microsoft.com/office/drawing/2014/main" id="{860BD70D-D1D3-4D46-A646-B30E2B09638C}"/>
            </a:ext>
          </a:extLst>
        </xdr:cNvPr>
        <xdr:cNvPicPr>
          <a:picLocks noChangeAspect="1"/>
        </xdr:cNvPicPr>
      </xdr:nvPicPr>
      <xdr:blipFill>
        <a:blip xmlns:r="http://schemas.openxmlformats.org/officeDocument/2006/relationships" r:embed="rId1"/>
        <a:stretch>
          <a:fillRect/>
        </a:stretch>
      </xdr:blipFill>
      <xdr:spPr>
        <a:xfrm>
          <a:off x="4629150" y="159515175"/>
          <a:ext cx="6574889" cy="6846570"/>
        </a:xfrm>
        <a:prstGeom prst="rect">
          <a:avLst/>
        </a:prstGeom>
        <a:solidFill>
          <a:schemeClr val="bg1"/>
        </a:solidFill>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pageSetUpPr fitToPage="1"/>
  </sheetPr>
  <dimension ref="D2:AI391"/>
  <sheetViews>
    <sheetView showGridLines="0" view="pageBreakPreview" topLeftCell="A13" zoomScale="70" zoomScaleNormal="70" zoomScaleSheetLayoutView="70" workbookViewId="0">
      <selection activeCell="Z18" sqref="Z18:Z19"/>
    </sheetView>
  </sheetViews>
  <sheetFormatPr defaultRowHeight="17.399999999999999"/>
  <cols>
    <col min="8" max="8" width="8.69921875" style="31"/>
    <col min="24" max="25" width="8.69921875" customWidth="1"/>
  </cols>
  <sheetData>
    <row r="2" spans="8:35">
      <c r="Z2" s="233"/>
      <c r="AA2" s="235"/>
      <c r="AB2" s="235"/>
      <c r="AC2" s="235"/>
      <c r="AD2" s="235"/>
      <c r="AE2" s="235"/>
      <c r="AF2" s="235"/>
      <c r="AG2" s="235"/>
      <c r="AH2" s="235"/>
      <c r="AI2" s="235"/>
    </row>
    <row r="3" spans="8:35">
      <c r="H3"/>
      <c r="Z3" s="233"/>
      <c r="AA3" s="235"/>
      <c r="AB3" s="235"/>
      <c r="AC3" s="235"/>
      <c r="AD3" s="235"/>
      <c r="AE3" s="235"/>
      <c r="AF3" s="235"/>
      <c r="AG3" s="235"/>
      <c r="AH3" s="235"/>
      <c r="AI3" s="235"/>
    </row>
    <row r="4" spans="8:35">
      <c r="Z4" s="232"/>
      <c r="AA4" s="236"/>
      <c r="AB4" s="236"/>
      <c r="AC4" s="236"/>
      <c r="AD4" s="236"/>
      <c r="AE4" s="235"/>
      <c r="AF4" s="235"/>
      <c r="AG4" s="235"/>
      <c r="AH4" s="235"/>
      <c r="AI4" s="235"/>
    </row>
    <row r="5" spans="8:35">
      <c r="Z5" s="232"/>
      <c r="AA5" s="236"/>
      <c r="AB5" s="236"/>
      <c r="AC5" s="236"/>
      <c r="AD5" s="236"/>
      <c r="AE5" s="235"/>
      <c r="AF5" s="235"/>
      <c r="AG5" s="235"/>
      <c r="AH5" s="235"/>
      <c r="AI5" s="235"/>
    </row>
    <row r="6" spans="8:35">
      <c r="Z6" s="232"/>
      <c r="AA6" s="234"/>
      <c r="AB6" s="234"/>
      <c r="AC6" s="234"/>
      <c r="AD6" s="234"/>
      <c r="AE6" s="235"/>
      <c r="AF6" s="235"/>
      <c r="AG6" s="235"/>
      <c r="AH6" s="235"/>
      <c r="AI6" s="235"/>
    </row>
    <row r="7" spans="8:35">
      <c r="Z7" s="232"/>
      <c r="AA7" s="234"/>
      <c r="AB7" s="234"/>
      <c r="AC7" s="234"/>
      <c r="AD7" s="234"/>
      <c r="AE7" s="235"/>
      <c r="AF7" s="235"/>
      <c r="AG7" s="235"/>
      <c r="AH7" s="235"/>
      <c r="AI7" s="235"/>
    </row>
    <row r="8" spans="8:35">
      <c r="Z8" s="232"/>
      <c r="AA8" s="234"/>
      <c r="AB8" s="234"/>
      <c r="AC8" s="234"/>
      <c r="AD8" s="234"/>
      <c r="AE8" s="235"/>
      <c r="AF8" s="235"/>
      <c r="AG8" s="235"/>
      <c r="AH8" s="235"/>
      <c r="AI8" s="235"/>
    </row>
    <row r="9" spans="8:35">
      <c r="Z9" s="232"/>
      <c r="AA9" s="234"/>
      <c r="AB9" s="234"/>
      <c r="AC9" s="234"/>
      <c r="AD9" s="234"/>
      <c r="AE9" s="235"/>
      <c r="AF9" s="235"/>
      <c r="AG9" s="235"/>
      <c r="AH9" s="235"/>
      <c r="AI9" s="235"/>
    </row>
    <row r="10" spans="8:35">
      <c r="Z10" s="232"/>
      <c r="AA10" s="234"/>
      <c r="AB10" s="234"/>
      <c r="AC10" s="234"/>
      <c r="AD10" s="234"/>
      <c r="AE10" s="235"/>
      <c r="AF10" s="235"/>
      <c r="AG10" s="235"/>
      <c r="AH10" s="235"/>
      <c r="AI10" s="235"/>
    </row>
    <row r="11" spans="8:35">
      <c r="Z11" s="232"/>
      <c r="AA11" s="234"/>
      <c r="AB11" s="234"/>
      <c r="AC11" s="234"/>
      <c r="AD11" s="234"/>
      <c r="AE11" s="235"/>
      <c r="AF11" s="235"/>
      <c r="AG11" s="235"/>
      <c r="AH11" s="235"/>
      <c r="AI11" s="235"/>
    </row>
    <row r="12" spans="8:35">
      <c r="H12" s="36"/>
      <c r="Z12" s="232"/>
      <c r="AA12" s="234"/>
      <c r="AB12" s="234"/>
      <c r="AC12" s="234"/>
      <c r="AD12" s="234"/>
      <c r="AE12" s="235"/>
      <c r="AF12" s="235"/>
      <c r="AG12" s="235"/>
      <c r="AH12" s="235"/>
      <c r="AI12" s="235"/>
    </row>
    <row r="13" spans="8:35">
      <c r="H13" s="37"/>
      <c r="Z13" s="232"/>
      <c r="AA13" s="234"/>
      <c r="AB13" s="234"/>
      <c r="AC13" s="234"/>
      <c r="AD13" s="234"/>
      <c r="AE13" s="235"/>
      <c r="AF13" s="235"/>
      <c r="AG13" s="235"/>
      <c r="AH13" s="235"/>
      <c r="AI13" s="235"/>
    </row>
    <row r="14" spans="8:35">
      <c r="H14" s="37"/>
      <c r="Z14" s="232"/>
      <c r="AA14" s="234"/>
      <c r="AB14" s="234"/>
      <c r="AC14" s="234"/>
      <c r="AD14" s="234"/>
      <c r="AE14" s="235"/>
      <c r="AF14" s="235"/>
      <c r="AG14" s="235"/>
      <c r="AH14" s="235"/>
      <c r="AI14" s="235"/>
    </row>
    <row r="15" spans="8:35">
      <c r="H15" s="37"/>
      <c r="Z15" s="232"/>
      <c r="AA15" s="234"/>
      <c r="AB15" s="234"/>
      <c r="AC15" s="234"/>
      <c r="AD15" s="234"/>
      <c r="AE15" s="235"/>
      <c r="AF15" s="235"/>
      <c r="AG15" s="235"/>
      <c r="AH15" s="235"/>
      <c r="AI15" s="235"/>
    </row>
    <row r="16" spans="8:35">
      <c r="H16" s="33"/>
      <c r="Z16" s="232"/>
      <c r="AA16" s="234"/>
      <c r="AB16" s="234"/>
      <c r="AC16" s="234"/>
      <c r="AD16" s="234"/>
      <c r="AE16" s="235"/>
      <c r="AF16" s="235"/>
      <c r="AG16" s="235"/>
      <c r="AH16" s="235"/>
      <c r="AI16" s="235"/>
    </row>
    <row r="17" spans="5:35">
      <c r="H17" s="37"/>
      <c r="Z17" s="232"/>
      <c r="AA17" s="234"/>
      <c r="AB17" s="234"/>
      <c r="AC17" s="234"/>
      <c r="AD17" s="234"/>
      <c r="AE17" s="235"/>
      <c r="AF17" s="235"/>
      <c r="AG17" s="235"/>
      <c r="AH17" s="235"/>
      <c r="AI17" s="235"/>
    </row>
    <row r="18" spans="5:35">
      <c r="H18" s="37"/>
      <c r="Z18" s="232"/>
      <c r="AA18" s="234"/>
      <c r="AB18" s="234"/>
      <c r="AC18" s="234"/>
      <c r="AD18" s="234"/>
      <c r="AE18" s="235"/>
      <c r="AF18" s="235"/>
      <c r="AG18" s="235"/>
      <c r="AH18" s="235"/>
      <c r="AI18" s="235"/>
    </row>
    <row r="19" spans="5:35">
      <c r="Z19" s="232"/>
      <c r="AA19" s="234"/>
      <c r="AB19" s="234"/>
      <c r="AC19" s="234"/>
      <c r="AD19" s="234"/>
      <c r="AE19" s="235"/>
      <c r="AF19" s="235"/>
      <c r="AG19" s="235"/>
      <c r="AH19" s="235"/>
      <c r="AI19" s="235"/>
    </row>
    <row r="20" spans="5:35">
      <c r="H20"/>
      <c r="Z20" s="232"/>
      <c r="AA20" s="234"/>
      <c r="AB20" s="234"/>
      <c r="AC20" s="234"/>
      <c r="AD20" s="234"/>
      <c r="AE20" s="235"/>
      <c r="AF20" s="235"/>
      <c r="AG20" s="235"/>
      <c r="AH20" s="235"/>
      <c r="AI20" s="235"/>
    </row>
    <row r="21" spans="5:35">
      <c r="H21"/>
      <c r="Z21" s="232"/>
      <c r="AA21" s="234"/>
      <c r="AB21" s="234"/>
      <c r="AC21" s="234"/>
      <c r="AD21" s="234"/>
      <c r="AE21" s="235"/>
      <c r="AF21" s="235"/>
      <c r="AG21" s="235"/>
      <c r="AH21" s="235"/>
      <c r="AI21" s="235"/>
    </row>
    <row r="22" spans="5:35" ht="17.399999999999999" customHeight="1">
      <c r="H22"/>
      <c r="Z22" s="232"/>
      <c r="AA22" s="234"/>
      <c r="AB22" s="234"/>
      <c r="AC22" s="234"/>
      <c r="AD22" s="234"/>
      <c r="AE22" s="235"/>
      <c r="AF22" s="235"/>
      <c r="AG22" s="235"/>
      <c r="AH22" s="235"/>
      <c r="AI22" s="235"/>
    </row>
    <row r="23" spans="5:35" ht="17.399999999999999" customHeight="1">
      <c r="H23"/>
      <c r="Z23" s="232"/>
      <c r="AA23" s="234"/>
      <c r="AB23" s="234"/>
      <c r="AC23" s="234"/>
      <c r="AD23" s="234"/>
      <c r="AE23" s="235"/>
      <c r="AF23" s="235"/>
      <c r="AG23" s="235"/>
      <c r="AH23" s="235"/>
      <c r="AI23" s="235"/>
    </row>
    <row r="24" spans="5:35" ht="17.399999999999999" customHeight="1">
      <c r="H24"/>
      <c r="Z24" s="232"/>
      <c r="AA24" s="234"/>
      <c r="AB24" s="234"/>
      <c r="AC24" s="234"/>
      <c r="AD24" s="234"/>
      <c r="AE24" s="235"/>
      <c r="AF24" s="235"/>
      <c r="AG24" s="235"/>
      <c r="AH24" s="235"/>
      <c r="AI24" s="235"/>
    </row>
    <row r="25" spans="5:35" ht="17.399999999999999" customHeight="1">
      <c r="H25"/>
      <c r="Z25" s="232"/>
      <c r="AA25" s="234"/>
      <c r="AB25" s="234"/>
      <c r="AC25" s="234"/>
      <c r="AD25" s="234"/>
      <c r="AE25" s="235"/>
      <c r="AF25" s="235"/>
      <c r="AG25" s="235"/>
      <c r="AH25" s="235"/>
      <c r="AI25" s="235"/>
    </row>
    <row r="26" spans="5:35">
      <c r="E26" s="44"/>
      <c r="G26" s="44"/>
      <c r="H26" s="33"/>
      <c r="Z26" s="232"/>
      <c r="AA26" s="234"/>
      <c r="AB26" s="234"/>
      <c r="AC26" s="234"/>
      <c r="AD26" s="234"/>
      <c r="AE26" s="235"/>
      <c r="AF26" s="235"/>
      <c r="AG26" s="235"/>
      <c r="AH26" s="235"/>
      <c r="AI26" s="235"/>
    </row>
    <row r="27" spans="5:35">
      <c r="E27" s="44"/>
      <c r="G27" s="44"/>
      <c r="H27" s="33"/>
      <c r="Z27" s="232"/>
      <c r="AA27" s="234"/>
      <c r="AB27" s="234"/>
      <c r="AC27" s="234"/>
      <c r="AD27" s="234"/>
      <c r="AE27" s="235"/>
      <c r="AF27" s="235"/>
      <c r="AG27" s="235"/>
      <c r="AH27" s="235"/>
      <c r="AI27" s="235"/>
    </row>
    <row r="28" spans="5:35">
      <c r="H28" s="33"/>
      <c r="Z28" s="232"/>
      <c r="AA28" s="234"/>
      <c r="AB28" s="234"/>
      <c r="AC28" s="234"/>
      <c r="AD28" s="234"/>
      <c r="AE28" s="235"/>
      <c r="AF28" s="235"/>
      <c r="AG28" s="235"/>
      <c r="AH28" s="235"/>
      <c r="AI28" s="235"/>
    </row>
    <row r="29" spans="5:35">
      <c r="H29" s="33"/>
      <c r="Z29" s="232"/>
      <c r="AA29" s="234"/>
      <c r="AB29" s="234"/>
      <c r="AC29" s="234"/>
      <c r="AD29" s="234"/>
      <c r="AE29" s="235"/>
      <c r="AF29" s="235"/>
      <c r="AG29" s="235"/>
      <c r="AH29" s="235"/>
      <c r="AI29" s="235"/>
    </row>
    <row r="30" spans="5:35">
      <c r="Z30" s="232"/>
      <c r="AA30" s="234"/>
      <c r="AB30" s="234"/>
      <c r="AC30" s="234"/>
      <c r="AD30" s="234"/>
      <c r="AE30" s="235"/>
      <c r="AF30" s="235"/>
      <c r="AG30" s="235"/>
      <c r="AH30" s="235"/>
      <c r="AI30" s="235"/>
    </row>
    <row r="31" spans="5:35">
      <c r="H31" s="33"/>
      <c r="Z31" s="232"/>
      <c r="AA31" s="234"/>
      <c r="AB31" s="234"/>
      <c r="AC31" s="234"/>
      <c r="AD31" s="234"/>
      <c r="AE31" s="235"/>
      <c r="AF31" s="235"/>
      <c r="AG31" s="235"/>
      <c r="AH31" s="235"/>
      <c r="AI31" s="235"/>
    </row>
    <row r="32" spans="5:35">
      <c r="Z32" s="232"/>
      <c r="AA32" s="234"/>
      <c r="AB32" s="234"/>
      <c r="AC32" s="234"/>
      <c r="AD32" s="234"/>
      <c r="AE32" s="235"/>
      <c r="AF32" s="235"/>
      <c r="AG32" s="235"/>
      <c r="AH32" s="235"/>
      <c r="AI32" s="235"/>
    </row>
    <row r="33" spans="4:35">
      <c r="Z33" s="232"/>
      <c r="AA33" s="234"/>
      <c r="AB33" s="234"/>
      <c r="AC33" s="234"/>
      <c r="AD33" s="234"/>
      <c r="AE33" s="235"/>
      <c r="AF33" s="235"/>
      <c r="AG33" s="235"/>
      <c r="AH33" s="235"/>
      <c r="AI33" s="235"/>
    </row>
    <row r="34" spans="4:35">
      <c r="Z34" s="232"/>
      <c r="AA34" s="234"/>
      <c r="AB34" s="234"/>
      <c r="AC34" s="234"/>
      <c r="AD34" s="234"/>
      <c r="AE34" s="235"/>
      <c r="AF34" s="235"/>
      <c r="AG34" s="235"/>
      <c r="AH34" s="235"/>
      <c r="AI34" s="235"/>
    </row>
    <row r="35" spans="4:35">
      <c r="Z35" s="232"/>
      <c r="AA35" s="234"/>
      <c r="AB35" s="234"/>
      <c r="AC35" s="234"/>
      <c r="AD35" s="234"/>
      <c r="AE35" s="235"/>
      <c r="AF35" s="235"/>
      <c r="AG35" s="235"/>
      <c r="AH35" s="235"/>
      <c r="AI35" s="235"/>
    </row>
    <row r="36" spans="4:35">
      <c r="Z36" s="232"/>
      <c r="AA36" s="234"/>
      <c r="AB36" s="234"/>
      <c r="AC36" s="234"/>
      <c r="AD36" s="234"/>
      <c r="AE36" s="235"/>
      <c r="AF36" s="235"/>
      <c r="AG36" s="235"/>
      <c r="AH36" s="235"/>
      <c r="AI36" s="235"/>
    </row>
    <row r="37" spans="4:35">
      <c r="Z37" s="232"/>
      <c r="AA37" s="234"/>
      <c r="AB37" s="234"/>
      <c r="AC37" s="234"/>
      <c r="AD37" s="234"/>
      <c r="AE37" s="235"/>
      <c r="AF37" s="235"/>
      <c r="AG37" s="235"/>
      <c r="AH37" s="235"/>
      <c r="AI37" s="235"/>
    </row>
    <row r="38" spans="4:35">
      <c r="D38" s="43"/>
    </row>
    <row r="39" spans="4:35">
      <c r="D39" s="43"/>
    </row>
    <row r="42" spans="4:35">
      <c r="H42" s="46"/>
    </row>
    <row r="53" spans="8:8">
      <c r="H53" s="32"/>
    </row>
    <row r="71" spans="8:8">
      <c r="H71" s="33"/>
    </row>
    <row r="81" spans="5:8">
      <c r="E81" s="38"/>
      <c r="H81" s="41"/>
    </row>
    <row r="82" spans="5:8">
      <c r="H82"/>
    </row>
    <row r="84" spans="5:8">
      <c r="H84"/>
    </row>
    <row r="85" spans="5:8">
      <c r="H85"/>
    </row>
    <row r="87" spans="5:8">
      <c r="H87" s="41"/>
    </row>
    <row r="89" spans="5:8">
      <c r="H89"/>
    </row>
    <row r="102" spans="4:4">
      <c r="D102" s="24"/>
    </row>
    <row r="103" spans="4:4">
      <c r="D103" s="24"/>
    </row>
    <row r="104" spans="4:4">
      <c r="D104" s="24"/>
    </row>
    <row r="123" spans="8:8">
      <c r="H123"/>
    </row>
    <row r="124" spans="8:8">
      <c r="H124"/>
    </row>
    <row r="125" spans="8:8">
      <c r="H125"/>
    </row>
    <row r="126" spans="8:8">
      <c r="H126"/>
    </row>
    <row r="129" spans="4:7">
      <c r="D129" s="43"/>
    </row>
    <row r="144" spans="4:7">
      <c r="E144" s="40"/>
      <c r="G144" s="40"/>
    </row>
    <row r="145" spans="4:11">
      <c r="E145" s="40"/>
      <c r="G145" s="40"/>
      <c r="H145" s="35"/>
    </row>
    <row r="146" spans="4:11">
      <c r="H146" s="42"/>
    </row>
    <row r="147" spans="4:11">
      <c r="H147" s="34"/>
    </row>
    <row r="153" spans="4:11">
      <c r="H153"/>
    </row>
    <row r="154" spans="4:11">
      <c r="D154" s="43"/>
      <c r="G154" s="38"/>
      <c r="K154" s="30"/>
    </row>
    <row r="155" spans="4:11">
      <c r="D155" s="43"/>
      <c r="K155" s="30"/>
    </row>
    <row r="156" spans="4:11">
      <c r="D156" s="43"/>
      <c r="G156" s="38"/>
      <c r="K156" s="30"/>
    </row>
    <row r="157" spans="4:11">
      <c r="D157" s="43"/>
      <c r="K157" s="30"/>
    </row>
    <row r="158" spans="4:11">
      <c r="D158" s="43"/>
      <c r="G158" s="38"/>
      <c r="H158" s="37"/>
      <c r="K158" s="30"/>
    </row>
    <row r="159" spans="4:11">
      <c r="D159" s="43"/>
      <c r="K159" s="30"/>
    </row>
    <row r="160" spans="4:11">
      <c r="D160" s="43"/>
      <c r="G160" s="38"/>
      <c r="K160" s="30"/>
    </row>
    <row r="161" spans="4:11">
      <c r="D161" s="43"/>
      <c r="K161" s="30"/>
    </row>
    <row r="162" spans="4:11">
      <c r="D162" s="24"/>
    </row>
    <row r="163" spans="4:11">
      <c r="D163" s="24"/>
    </row>
    <row r="164" spans="4:11">
      <c r="D164" s="30"/>
    </row>
    <row r="165" spans="4:11">
      <c r="D165" s="43"/>
    </row>
    <row r="170" spans="4:11">
      <c r="D170" s="43"/>
    </row>
    <row r="173" spans="4:11">
      <c r="H173"/>
    </row>
    <row r="174" spans="4:11">
      <c r="H174"/>
    </row>
    <row r="176" spans="4:11">
      <c r="H176"/>
    </row>
    <row r="186" spans="11:11">
      <c r="K186" s="21"/>
    </row>
    <row r="203" spans="5:8">
      <c r="H203"/>
    </row>
    <row r="204" spans="5:8">
      <c r="H204"/>
    </row>
    <row r="205" spans="5:8">
      <c r="E205" s="44"/>
    </row>
    <row r="206" spans="5:8">
      <c r="G206" s="44"/>
      <c r="H206" s="33"/>
    </row>
    <row r="207" spans="5:8">
      <c r="H207"/>
    </row>
    <row r="209" spans="4:8">
      <c r="G209" s="38"/>
      <c r="H209" s="37"/>
    </row>
    <row r="210" spans="4:8">
      <c r="G210" s="38"/>
      <c r="H210" s="37"/>
    </row>
    <row r="211" spans="4:8">
      <c r="G211" s="38"/>
      <c r="H211" s="37"/>
    </row>
    <row r="212" spans="4:8">
      <c r="G212" s="38"/>
      <c r="H212" s="37"/>
    </row>
    <row r="213" spans="4:8">
      <c r="G213" s="38"/>
      <c r="H213" s="37"/>
    </row>
    <row r="214" spans="4:8">
      <c r="G214" s="38"/>
      <c r="H214" s="37"/>
    </row>
    <row r="215" spans="4:8">
      <c r="G215" s="38"/>
      <c r="H215" s="37"/>
    </row>
    <row r="216" spans="4:8">
      <c r="G216" s="38"/>
      <c r="H216" s="37"/>
    </row>
    <row r="218" spans="4:8">
      <c r="G218" s="39"/>
    </row>
    <row r="219" spans="4:8">
      <c r="G219" s="39"/>
    </row>
    <row r="220" spans="4:8">
      <c r="G220" s="39"/>
    </row>
    <row r="222" spans="4:8">
      <c r="G222" s="39"/>
      <c r="H222" s="36"/>
    </row>
    <row r="223" spans="4:8">
      <c r="D223" s="30"/>
    </row>
    <row r="224" spans="4:8">
      <c r="D224" s="30"/>
    </row>
    <row r="225" spans="4:11">
      <c r="D225" s="30"/>
    </row>
    <row r="226" spans="4:11">
      <c r="D226" s="45"/>
    </row>
    <row r="227" spans="4:11">
      <c r="D227" s="45"/>
    </row>
    <row r="228" spans="4:11">
      <c r="D228" s="45"/>
    </row>
    <row r="229" spans="4:11">
      <c r="H229" s="32"/>
    </row>
    <row r="235" spans="4:11">
      <c r="K235" s="21"/>
    </row>
    <row r="236" spans="4:11">
      <c r="K236" s="21"/>
    </row>
    <row r="239" spans="4:11">
      <c r="H239" s="33"/>
    </row>
    <row r="244" spans="5:8">
      <c r="G244" s="39"/>
    </row>
    <row r="245" spans="5:8">
      <c r="G245" s="39"/>
    </row>
    <row r="246" spans="5:8">
      <c r="H246"/>
    </row>
    <row r="247" spans="5:8">
      <c r="H247"/>
    </row>
    <row r="248" spans="5:8">
      <c r="H248"/>
    </row>
    <row r="249" spans="5:8">
      <c r="G249" s="39"/>
    </row>
    <row r="251" spans="5:8">
      <c r="E251" s="38"/>
      <c r="G251" s="38"/>
    </row>
    <row r="261" spans="4:8">
      <c r="D261" s="11"/>
      <c r="H261" s="33"/>
    </row>
    <row r="266" spans="4:8">
      <c r="E266" s="38"/>
      <c r="F266" s="38"/>
      <c r="G266" s="38"/>
    </row>
    <row r="267" spans="4:8">
      <c r="E267" s="38"/>
      <c r="F267" s="38"/>
      <c r="G267" s="38"/>
    </row>
    <row r="268" spans="4:8">
      <c r="E268" s="38"/>
      <c r="F268" s="38"/>
      <c r="G268" s="38"/>
    </row>
    <row r="269" spans="4:8">
      <c r="E269" s="38"/>
      <c r="F269" s="38"/>
      <c r="G269" s="38"/>
    </row>
    <row r="270" spans="4:8">
      <c r="H270" s="33"/>
    </row>
    <row r="271" spans="4:8">
      <c r="H271" s="33"/>
    </row>
    <row r="272" spans="4:8">
      <c r="H272" s="33"/>
    </row>
    <row r="273" spans="5:8">
      <c r="H273" s="33"/>
    </row>
    <row r="274" spans="5:8">
      <c r="H274" s="33"/>
    </row>
    <row r="275" spans="5:8">
      <c r="H275" s="33"/>
    </row>
    <row r="277" spans="5:8">
      <c r="H277" s="33"/>
    </row>
    <row r="278" spans="5:8">
      <c r="E278" s="38"/>
      <c r="F278" s="38"/>
      <c r="G278" s="38"/>
    </row>
    <row r="279" spans="5:8">
      <c r="E279" s="38"/>
      <c r="F279" s="38"/>
      <c r="G279" s="38"/>
    </row>
    <row r="280" spans="5:8">
      <c r="G280" s="38"/>
      <c r="H280" s="37"/>
    </row>
    <row r="281" spans="5:8">
      <c r="G281" s="38"/>
      <c r="H281" s="37"/>
    </row>
    <row r="282" spans="5:8">
      <c r="G282" s="38"/>
      <c r="H282" s="37"/>
    </row>
    <row r="283" spans="5:8">
      <c r="G283" s="38"/>
      <c r="H283" s="37"/>
    </row>
    <row r="284" spans="5:8">
      <c r="G284" s="38"/>
      <c r="H284" s="37"/>
    </row>
    <row r="285" spans="5:8">
      <c r="G285" s="38"/>
      <c r="H285" s="37"/>
    </row>
    <row r="286" spans="5:8">
      <c r="G286" s="38"/>
      <c r="H286" s="37"/>
    </row>
    <row r="287" spans="5:8">
      <c r="G287" s="38"/>
      <c r="H287" s="37"/>
    </row>
    <row r="288" spans="5:8">
      <c r="G288" s="38"/>
      <c r="H288" s="37"/>
    </row>
    <row r="289" spans="7:8">
      <c r="G289" s="38"/>
      <c r="H289" s="37"/>
    </row>
    <row r="290" spans="7:8">
      <c r="H290"/>
    </row>
    <row r="291" spans="7:8">
      <c r="H291"/>
    </row>
    <row r="294" spans="7:8">
      <c r="H294" s="33"/>
    </row>
    <row r="314" spans="7:11">
      <c r="G314" s="38"/>
      <c r="H314" s="37"/>
      <c r="K314" s="11"/>
    </row>
    <row r="315" spans="7:11">
      <c r="G315" s="38"/>
      <c r="H315" s="37"/>
      <c r="K315" s="11"/>
    </row>
    <row r="316" spans="7:11">
      <c r="G316" s="38"/>
      <c r="H316" s="37"/>
      <c r="K316" s="11"/>
    </row>
    <row r="317" spans="7:11">
      <c r="G317" s="38"/>
      <c r="H317" s="37"/>
      <c r="K317" s="11"/>
    </row>
    <row r="318" spans="7:11">
      <c r="G318" s="38"/>
      <c r="H318" s="37"/>
      <c r="K318" s="11"/>
    </row>
    <row r="319" spans="7:11">
      <c r="G319" s="38"/>
      <c r="H319" s="37"/>
      <c r="K319" s="11"/>
    </row>
    <row r="320" spans="7:11">
      <c r="G320" s="38"/>
      <c r="H320" s="37"/>
      <c r="K320" s="11"/>
    </row>
    <row r="321" spans="4:11">
      <c r="G321" s="38"/>
      <c r="H321" s="37"/>
      <c r="K321" s="11"/>
    </row>
    <row r="322" spans="4:11">
      <c r="D322" s="21"/>
    </row>
    <row r="323" spans="4:11">
      <c r="D323" s="21"/>
    </row>
    <row r="324" spans="4:11">
      <c r="D324" s="21"/>
    </row>
    <row r="325" spans="4:11">
      <c r="D325" s="21"/>
    </row>
    <row r="326" spans="4:11">
      <c r="D326" s="21"/>
      <c r="G326" s="38"/>
      <c r="H326" s="37"/>
      <c r="K326" s="21"/>
    </row>
    <row r="327" spans="4:11">
      <c r="D327" s="21"/>
      <c r="G327" s="38"/>
      <c r="H327" s="37"/>
      <c r="K327" s="21"/>
    </row>
    <row r="328" spans="4:11">
      <c r="D328" s="21"/>
      <c r="G328" s="38"/>
      <c r="H328" s="37"/>
      <c r="K328" s="21"/>
    </row>
    <row r="329" spans="4:11">
      <c r="D329" s="21"/>
      <c r="G329" s="38"/>
      <c r="H329" s="37"/>
      <c r="K329" s="21"/>
    </row>
    <row r="330" spans="4:11">
      <c r="D330" s="21"/>
    </row>
    <row r="331" spans="4:11">
      <c r="D331" s="21"/>
    </row>
    <row r="332" spans="4:11">
      <c r="D332" s="21"/>
    </row>
    <row r="333" spans="4:11">
      <c r="D333" s="21"/>
    </row>
    <row r="334" spans="4:11">
      <c r="D334" s="21"/>
      <c r="G334" s="38"/>
      <c r="H334" s="37"/>
    </row>
    <row r="335" spans="4:11">
      <c r="D335" s="21"/>
      <c r="G335" s="38"/>
      <c r="H335" s="37"/>
    </row>
    <row r="336" spans="4:11">
      <c r="D336" s="21"/>
      <c r="G336" s="38"/>
      <c r="H336" s="37"/>
    </row>
    <row r="337" spans="4:8">
      <c r="D337" s="21"/>
      <c r="G337" s="38"/>
      <c r="H337" s="37"/>
    </row>
    <row r="338" spans="4:8">
      <c r="H338"/>
    </row>
    <row r="339" spans="4:8">
      <c r="H339"/>
    </row>
    <row r="340" spans="4:8">
      <c r="H340"/>
    </row>
    <row r="341" spans="4:8">
      <c r="H341"/>
    </row>
    <row r="342" spans="4:8">
      <c r="H342"/>
    </row>
    <row r="343" spans="4:8">
      <c r="H343"/>
    </row>
    <row r="344" spans="4:8">
      <c r="H344"/>
    </row>
    <row r="345" spans="4:8">
      <c r="H345"/>
    </row>
    <row r="346" spans="4:8">
      <c r="H346"/>
    </row>
    <row r="347" spans="4:8">
      <c r="H347"/>
    </row>
    <row r="348" spans="4:8">
      <c r="H348"/>
    </row>
    <row r="349" spans="4:8">
      <c r="H349"/>
    </row>
    <row r="350" spans="4:8">
      <c r="E350" s="38"/>
      <c r="H350" s="37"/>
    </row>
    <row r="351" spans="4:8">
      <c r="E351" s="38"/>
      <c r="H351" s="37"/>
    </row>
    <row r="352" spans="4:8">
      <c r="E352" s="38"/>
      <c r="G352" s="38"/>
      <c r="H352" s="37"/>
    </row>
    <row r="353" spans="5:8">
      <c r="E353" s="38"/>
      <c r="G353" s="38"/>
      <c r="H353" s="37"/>
    </row>
    <row r="354" spans="5:8">
      <c r="E354" s="38"/>
      <c r="G354" s="38"/>
      <c r="H354" s="37"/>
    </row>
    <row r="355" spans="5:8">
      <c r="E355" s="38"/>
      <c r="G355" s="38"/>
      <c r="H355" s="37"/>
    </row>
    <row r="356" spans="5:8">
      <c r="H356"/>
    </row>
    <row r="357" spans="5:8">
      <c r="H357"/>
    </row>
    <row r="358" spans="5:8">
      <c r="H358"/>
    </row>
    <row r="359" spans="5:8">
      <c r="H359"/>
    </row>
    <row r="360" spans="5:8">
      <c r="H360"/>
    </row>
    <row r="361" spans="5:8">
      <c r="H361"/>
    </row>
    <row r="362" spans="5:8">
      <c r="E362" s="38"/>
      <c r="G362" s="38"/>
      <c r="H362" s="37"/>
    </row>
    <row r="363" spans="5:8">
      <c r="E363" s="38"/>
      <c r="G363" s="38"/>
      <c r="H363" s="37"/>
    </row>
    <row r="364" spans="5:8">
      <c r="E364" s="38"/>
      <c r="G364" s="38"/>
      <c r="H364" s="37"/>
    </row>
    <row r="365" spans="5:8">
      <c r="E365" s="38"/>
      <c r="G365" s="38"/>
      <c r="H365" s="37"/>
    </row>
    <row r="366" spans="5:8">
      <c r="E366" s="38"/>
      <c r="G366" s="38"/>
      <c r="H366" s="37"/>
    </row>
    <row r="367" spans="5:8">
      <c r="E367" s="38"/>
      <c r="G367" s="38"/>
      <c r="H367" s="37"/>
    </row>
    <row r="380" spans="4:8">
      <c r="H380" s="37"/>
    </row>
    <row r="381" spans="4:8">
      <c r="H381" s="33"/>
    </row>
    <row r="382" spans="4:8">
      <c r="H382" s="43"/>
    </row>
    <row r="383" spans="4:8">
      <c r="D383" s="24"/>
    </row>
    <row r="384" spans="4:8">
      <c r="D384" s="24"/>
    </row>
    <row r="386" spans="7:8">
      <c r="G386" s="39"/>
      <c r="H386" s="36"/>
    </row>
    <row r="387" spans="7:8">
      <c r="G387" s="39"/>
      <c r="H387" s="36"/>
    </row>
    <row r="388" spans="7:8">
      <c r="G388" s="39"/>
      <c r="H388" s="36"/>
    </row>
    <row r="389" spans="7:8">
      <c r="H389" s="36"/>
    </row>
    <row r="390" spans="7:8">
      <c r="H390" s="36"/>
    </row>
    <row r="391" spans="7:8">
      <c r="H391" s="36"/>
    </row>
  </sheetData>
  <mergeCells count="54">
    <mergeCell ref="AA2:AD3"/>
    <mergeCell ref="AE2:AI3"/>
    <mergeCell ref="AA4:AD5"/>
    <mergeCell ref="AE4:AI5"/>
    <mergeCell ref="AA6:AD7"/>
    <mergeCell ref="AE6:AI7"/>
    <mergeCell ref="AA8:AD9"/>
    <mergeCell ref="AE8:AI9"/>
    <mergeCell ref="AA10:AD11"/>
    <mergeCell ref="AE10:AI11"/>
    <mergeCell ref="AA12:AD13"/>
    <mergeCell ref="AE12:AI13"/>
    <mergeCell ref="AA36:AD37"/>
    <mergeCell ref="AE36:AI37"/>
    <mergeCell ref="AA26:AD27"/>
    <mergeCell ref="AE26:AI27"/>
    <mergeCell ref="AE20:AI21"/>
    <mergeCell ref="AA30:AD31"/>
    <mergeCell ref="AE30:AI31"/>
    <mergeCell ref="AA28:AD29"/>
    <mergeCell ref="AE28:AI29"/>
    <mergeCell ref="AA20:AD21"/>
    <mergeCell ref="AA22:AD23"/>
    <mergeCell ref="AE22:AI23"/>
    <mergeCell ref="AA24:AD25"/>
    <mergeCell ref="AE24:AI25"/>
    <mergeCell ref="Z12:Z13"/>
    <mergeCell ref="AA32:AD33"/>
    <mergeCell ref="AE32:AI33"/>
    <mergeCell ref="AA34:AD35"/>
    <mergeCell ref="AE34:AI35"/>
    <mergeCell ref="AA14:AD15"/>
    <mergeCell ref="AE14:AI15"/>
    <mergeCell ref="AA16:AD17"/>
    <mergeCell ref="AE16:AI17"/>
    <mergeCell ref="AA18:AD19"/>
    <mergeCell ref="AE18:AI19"/>
    <mergeCell ref="Z34:Z35"/>
    <mergeCell ref="Z36:Z37"/>
    <mergeCell ref="Z2:Z3"/>
    <mergeCell ref="Z24:Z25"/>
    <mergeCell ref="Z26:Z27"/>
    <mergeCell ref="Z28:Z29"/>
    <mergeCell ref="Z30:Z31"/>
    <mergeCell ref="Z32:Z33"/>
    <mergeCell ref="Z14:Z15"/>
    <mergeCell ref="Z16:Z17"/>
    <mergeCell ref="Z18:Z19"/>
    <mergeCell ref="Z20:Z21"/>
    <mergeCell ref="Z22:Z23"/>
    <mergeCell ref="Z4:Z5"/>
    <mergeCell ref="Z6:Z7"/>
    <mergeCell ref="Z8:Z9"/>
    <mergeCell ref="Z10:Z11"/>
  </mergeCells>
  <phoneticPr fontId="2" type="noConversion"/>
  <conditionalFormatting sqref="AA2">
    <cfRule type="containsText" dxfId="37" priority="9" operator="containsText" text="Pass">
      <formula>NOT(ISERROR(SEARCH("Pass",AA2)))</formula>
    </cfRule>
    <cfRule type="containsText" dxfId="36" priority="10" operator="containsText" text="Fail">
      <formula>NOT(ISERROR(SEARCH("Fail",AA2)))</formula>
    </cfRule>
    <cfRule type="containsText" dxfId="35" priority="11" operator="containsText" text="NG">
      <formula>NOT(ISERROR(SEARCH("NG",AA2)))</formula>
    </cfRule>
    <cfRule type="containsText" dxfId="34" priority="12" operator="containsText" text="OK">
      <formula>NOT(ISERROR(SEARCH("OK",AA2)))</formula>
    </cfRule>
  </conditionalFormatting>
  <conditionalFormatting sqref="AE2 AE4 AE6 AE8 AE10 AE12 AE14 AE16 AE18 AE20 AE22 AE24 AE26 AE28 AE30 AE32 AE34">
    <cfRule type="containsText" dxfId="33" priority="5" operator="containsText" text="Pass">
      <formula>NOT(ISERROR(SEARCH("Pass",AE2)))</formula>
    </cfRule>
    <cfRule type="containsText" dxfId="32" priority="6" operator="containsText" text="Fail">
      <formula>NOT(ISERROR(SEARCH("Fail",AE2)))</formula>
    </cfRule>
    <cfRule type="containsText" dxfId="31" priority="7" operator="containsText" text="NG">
      <formula>NOT(ISERROR(SEARCH("NG",AE2)))</formula>
    </cfRule>
    <cfRule type="containsText" dxfId="30" priority="8" operator="containsText" text="OK">
      <formula>NOT(ISERROR(SEARCH("OK",AE2)))</formula>
    </cfRule>
  </conditionalFormatting>
  <conditionalFormatting sqref="AE36">
    <cfRule type="containsText" dxfId="29" priority="1" operator="containsText" text="Pass">
      <formula>NOT(ISERROR(SEARCH("Pass",AE36)))</formula>
    </cfRule>
    <cfRule type="containsText" dxfId="28" priority="2" operator="containsText" text="Fail">
      <formula>NOT(ISERROR(SEARCH("Fail",AE36)))</formula>
    </cfRule>
    <cfRule type="containsText" dxfId="27" priority="3" operator="containsText" text="NG">
      <formula>NOT(ISERROR(SEARCH("NG",AE36)))</formula>
    </cfRule>
    <cfRule type="containsText" dxfId="26" priority="4" operator="containsText" text="OK">
      <formula>NOT(ISERROR(SEARCH("OK",AE36)))</formula>
    </cfRule>
  </conditionalFormatting>
  <printOptions horizontalCentered="1" verticalCentered="1"/>
  <pageMargins left="0.19685039370078741" right="0.19685039370078741" top="0.39370078740157483" bottom="0.39370078740157483" header="0.31496062992125984" footer="0.19685039370078741"/>
  <pageSetup paperSize="9" scale="62" fitToHeight="0" orientation="landscape" r:id="rId1"/>
  <headerFooter differentFirst="1" scaleWithDoc="0" alignWithMargins="0">
    <oddFooter>&amp;C&amp;6&amp;P/&amp;N&amp;R&amp;6Manufacturing Dept. v3.12.2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pageSetUpPr fitToPage="1"/>
  </sheetPr>
  <dimension ref="A1:M594"/>
  <sheetViews>
    <sheetView tabSelected="1" view="pageBreakPreview" zoomScale="55" zoomScaleNormal="85" zoomScaleSheetLayoutView="55" workbookViewId="0">
      <pane ySplit="1" topLeftCell="A562" activePane="bottomLeft" state="frozen"/>
      <selection activeCell="AA32" sqref="AA32"/>
      <selection pane="bottomLeft" activeCell="G581" sqref="G581"/>
    </sheetView>
  </sheetViews>
  <sheetFormatPr defaultColWidth="9" defaultRowHeight="24"/>
  <cols>
    <col min="1" max="1" width="5.69921875" style="172" customWidth="1"/>
    <col min="2" max="2" width="45.69921875" style="183" customWidth="1"/>
    <col min="3" max="3" width="80.69921875" style="194" customWidth="1"/>
    <col min="4" max="4" width="12.69921875" style="172" customWidth="1"/>
    <col min="5" max="5" width="30.69921875" style="184" customWidth="1"/>
    <col min="6" max="6" width="12.69921875" style="172" customWidth="1"/>
    <col min="7" max="7" width="16.19921875" style="172" customWidth="1"/>
    <col min="8" max="8" width="15.69921875" style="172" customWidth="1"/>
    <col min="9" max="9" width="15.69921875" style="187" customWidth="1"/>
    <col min="10" max="11" width="13.69921875" style="188" customWidth="1"/>
    <col min="12" max="12" width="96.09765625" style="189" customWidth="1"/>
    <col min="13" max="16384" width="9" style="163"/>
  </cols>
  <sheetData>
    <row r="1" spans="1:12" s="107" customFormat="1" ht="25.2" customHeight="1">
      <c r="A1" s="102" t="s">
        <v>550</v>
      </c>
      <c r="B1" s="102" t="s">
        <v>0</v>
      </c>
      <c r="C1" s="190" t="s">
        <v>2</v>
      </c>
      <c r="D1" s="102" t="s">
        <v>122</v>
      </c>
      <c r="E1" s="103" t="s">
        <v>3</v>
      </c>
      <c r="F1" s="102" t="s">
        <v>121</v>
      </c>
      <c r="G1" s="102" t="s">
        <v>931</v>
      </c>
      <c r="H1" s="102" t="s">
        <v>123</v>
      </c>
      <c r="I1" s="104" t="s">
        <v>177</v>
      </c>
      <c r="J1" s="105" t="s">
        <v>1</v>
      </c>
      <c r="K1" s="105" t="s">
        <v>992</v>
      </c>
      <c r="L1" s="106" t="s">
        <v>4</v>
      </c>
    </row>
    <row r="2" spans="1:12" s="113" customFormat="1" ht="37.200000000000003">
      <c r="A2" s="108">
        <f>SUBTOTAL(103,$B$2:B2)*1</f>
        <v>1</v>
      </c>
      <c r="B2" s="109" t="s">
        <v>947</v>
      </c>
      <c r="C2" s="177" t="s">
        <v>1442</v>
      </c>
      <c r="D2" s="108"/>
      <c r="E2" s="110" t="s">
        <v>16</v>
      </c>
      <c r="F2" s="108"/>
      <c r="G2" s="102" t="s">
        <v>1666</v>
      </c>
      <c r="H2" s="108" t="s">
        <v>34</v>
      </c>
      <c r="I2" s="104" t="str">
        <f t="shared" ref="I2:I8" si="0">IF(G2="","",IF(G2=E2,"Pass","Fail"))</f>
        <v>Pass</v>
      </c>
      <c r="J2" s="111" t="s">
        <v>6</v>
      </c>
      <c r="K2" s="111"/>
      <c r="L2" s="112" t="s">
        <v>494</v>
      </c>
    </row>
    <row r="3" spans="1:12" s="113" customFormat="1" ht="25.2" customHeight="1">
      <c r="A3" s="108">
        <f>SUBTOTAL(103,$B$2:B3)*1</f>
        <v>2</v>
      </c>
      <c r="B3" s="109" t="s">
        <v>948</v>
      </c>
      <c r="C3" s="177" t="s">
        <v>132</v>
      </c>
      <c r="D3" s="108"/>
      <c r="E3" s="110" t="s">
        <v>1662</v>
      </c>
      <c r="F3" s="108"/>
      <c r="G3" s="102" t="s">
        <v>1663</v>
      </c>
      <c r="H3" s="108" t="s">
        <v>34</v>
      </c>
      <c r="I3" s="104" t="str">
        <f t="shared" si="0"/>
        <v>Pass</v>
      </c>
      <c r="J3" s="111" t="s">
        <v>6</v>
      </c>
      <c r="K3" s="111"/>
      <c r="L3" s="112" t="s">
        <v>495</v>
      </c>
    </row>
    <row r="4" spans="1:12" s="113" customFormat="1" ht="25.2" hidden="1" customHeight="1">
      <c r="A4" s="108">
        <f>SUBTOTAL(103,$B$2:B4)*1</f>
        <v>2</v>
      </c>
      <c r="B4" s="109" t="s">
        <v>949</v>
      </c>
      <c r="C4" s="177" t="s">
        <v>132</v>
      </c>
      <c r="D4" s="108"/>
      <c r="E4" s="114" t="s">
        <v>464</v>
      </c>
      <c r="F4" s="108"/>
      <c r="G4" s="102"/>
      <c r="H4" s="108" t="s">
        <v>34</v>
      </c>
      <c r="I4" s="104" t="str">
        <f t="shared" si="0"/>
        <v/>
      </c>
      <c r="J4" s="111" t="s">
        <v>6</v>
      </c>
      <c r="K4" s="111"/>
      <c r="L4" s="112" t="s">
        <v>496</v>
      </c>
    </row>
    <row r="5" spans="1:12" s="113" customFormat="1" ht="25.2" customHeight="1">
      <c r="A5" s="108">
        <f>SUBTOTAL(103,$B$2:B5)*1</f>
        <v>3</v>
      </c>
      <c r="B5" s="109" t="s">
        <v>66</v>
      </c>
      <c r="C5" s="177" t="s">
        <v>155</v>
      </c>
      <c r="D5" s="108"/>
      <c r="E5" s="110" t="s">
        <v>1664</v>
      </c>
      <c r="F5" s="108"/>
      <c r="G5" s="102" t="s">
        <v>1664</v>
      </c>
      <c r="H5" s="108" t="s">
        <v>34</v>
      </c>
      <c r="I5" s="104" t="str">
        <f t="shared" si="0"/>
        <v>Pass</v>
      </c>
      <c r="J5" s="111" t="s">
        <v>6</v>
      </c>
      <c r="K5" s="111"/>
      <c r="L5" s="115" t="s">
        <v>279</v>
      </c>
    </row>
    <row r="6" spans="1:12" s="113" customFormat="1" ht="25.2" customHeight="1">
      <c r="A6" s="108">
        <f>SUBTOTAL(103,$B$2:B6)*1</f>
        <v>4</v>
      </c>
      <c r="B6" s="109" t="s">
        <v>66</v>
      </c>
      <c r="C6" s="177" t="s">
        <v>68</v>
      </c>
      <c r="D6" s="108"/>
      <c r="E6" s="110" t="s">
        <v>1668</v>
      </c>
      <c r="F6" s="108"/>
      <c r="G6" s="116" t="s">
        <v>1668</v>
      </c>
      <c r="H6" s="108" t="s">
        <v>131</v>
      </c>
      <c r="I6" s="104" t="str">
        <f t="shared" si="0"/>
        <v>Pass</v>
      </c>
      <c r="J6" s="111" t="s">
        <v>6</v>
      </c>
      <c r="K6" s="111"/>
      <c r="L6" s="112"/>
    </row>
    <row r="7" spans="1:12" s="113" customFormat="1" ht="25.2" customHeight="1">
      <c r="A7" s="108">
        <f>SUBTOTAL(103,$B$2:B7)*1</f>
        <v>5</v>
      </c>
      <c r="B7" s="109" t="s">
        <v>66</v>
      </c>
      <c r="C7" s="177" t="s">
        <v>67</v>
      </c>
      <c r="D7" s="108"/>
      <c r="E7" s="110" t="s">
        <v>1667</v>
      </c>
      <c r="F7" s="108"/>
      <c r="G7" s="102" t="s">
        <v>1667</v>
      </c>
      <c r="H7" s="108" t="s">
        <v>131</v>
      </c>
      <c r="I7" s="104" t="str">
        <f t="shared" si="0"/>
        <v>Pass</v>
      </c>
      <c r="J7" s="111" t="s">
        <v>6</v>
      </c>
      <c r="K7" s="111"/>
      <c r="L7" s="112"/>
    </row>
    <row r="8" spans="1:12" s="113" customFormat="1" ht="25.2" customHeight="1">
      <c r="A8" s="108">
        <f>SUBTOTAL(103,$B$2:B8)*1</f>
        <v>6</v>
      </c>
      <c r="B8" s="109" t="s">
        <v>66</v>
      </c>
      <c r="C8" s="177" t="s">
        <v>118</v>
      </c>
      <c r="D8" s="108"/>
      <c r="E8" s="110">
        <v>230</v>
      </c>
      <c r="F8" s="108"/>
      <c r="G8" s="102">
        <v>230</v>
      </c>
      <c r="H8" s="108" t="s">
        <v>133</v>
      </c>
      <c r="I8" s="104" t="str">
        <f t="shared" si="0"/>
        <v>Pass</v>
      </c>
      <c r="J8" s="111" t="s">
        <v>6</v>
      </c>
      <c r="K8" s="111"/>
      <c r="L8" s="112"/>
    </row>
    <row r="9" spans="1:12" s="113" customFormat="1" ht="25.2" customHeight="1">
      <c r="A9" s="108">
        <f>SUBTOTAL(103,$B$2:B9)*1</f>
        <v>7</v>
      </c>
      <c r="B9" s="109" t="s">
        <v>69</v>
      </c>
      <c r="C9" s="177" t="s">
        <v>780</v>
      </c>
      <c r="D9" s="108"/>
      <c r="E9" s="212"/>
      <c r="F9" s="108">
        <v>50</v>
      </c>
      <c r="G9" s="130">
        <v>25</v>
      </c>
      <c r="H9" s="108" t="s">
        <v>127</v>
      </c>
      <c r="I9" s="104" t="str">
        <f>IF(G9="","",IF(G9&lt;=F9,"Pass","Fail"))</f>
        <v>Pass</v>
      </c>
      <c r="J9" s="111" t="s">
        <v>6</v>
      </c>
      <c r="K9" s="111"/>
      <c r="L9" s="112" t="s">
        <v>781</v>
      </c>
    </row>
    <row r="10" spans="1:12" s="113" customFormat="1" ht="25.2" customHeight="1">
      <c r="A10" s="108">
        <f>SUBTOTAL(103,$B$2:B10)*1</f>
        <v>8</v>
      </c>
      <c r="B10" s="109" t="s">
        <v>69</v>
      </c>
      <c r="C10" s="177" t="s">
        <v>1281</v>
      </c>
      <c r="D10" s="108"/>
      <c r="E10" s="110" t="s">
        <v>16</v>
      </c>
      <c r="F10" s="108"/>
      <c r="G10" s="102" t="s">
        <v>1666</v>
      </c>
      <c r="H10" s="108" t="s">
        <v>34</v>
      </c>
      <c r="I10" s="104" t="str">
        <f t="shared" ref="I10" si="1">IF(G10="","",IF(G10=E10,"Pass","Fail"))</f>
        <v>Pass</v>
      </c>
      <c r="J10" s="111" t="s">
        <v>6</v>
      </c>
      <c r="K10" s="111"/>
      <c r="L10" s="112"/>
    </row>
    <row r="11" spans="1:12" s="113" customFormat="1" ht="25.2" customHeight="1">
      <c r="A11" s="108">
        <f>SUBTOTAL(103,$B$2:B11)*1</f>
        <v>9</v>
      </c>
      <c r="B11" s="109" t="s">
        <v>69</v>
      </c>
      <c r="C11" s="177" t="s">
        <v>363</v>
      </c>
      <c r="D11" s="108"/>
      <c r="E11" s="110"/>
      <c r="F11" s="117">
        <v>200</v>
      </c>
      <c r="G11" s="125">
        <v>19.75</v>
      </c>
      <c r="H11" s="117" t="s">
        <v>125</v>
      </c>
      <c r="I11" s="104" t="str">
        <f>IF(G11="","",IF(G11&lt;=F11,"Pass","Fail"))</f>
        <v>Pass</v>
      </c>
      <c r="J11" s="111" t="s">
        <v>41</v>
      </c>
      <c r="K11" s="111"/>
      <c r="L11" s="112"/>
    </row>
    <row r="12" spans="1:12" s="113" customFormat="1" ht="25.2" customHeight="1">
      <c r="A12" s="108">
        <f>SUBTOTAL(103,$B$2:B12)*1</f>
        <v>10</v>
      </c>
      <c r="B12" s="109" t="s">
        <v>69</v>
      </c>
      <c r="C12" s="177" t="s">
        <v>364</v>
      </c>
      <c r="D12" s="108"/>
      <c r="E12" s="119" t="s">
        <v>1670</v>
      </c>
      <c r="F12" s="108"/>
      <c r="G12" s="135" t="s">
        <v>1669</v>
      </c>
      <c r="H12" s="108" t="s">
        <v>34</v>
      </c>
      <c r="I12" s="104" t="str">
        <f>IF(G12="","",IF(G12=E12,"Pass","Fail"))</f>
        <v>Pass</v>
      </c>
      <c r="J12" s="111" t="s">
        <v>6</v>
      </c>
      <c r="K12" s="111"/>
      <c r="L12" s="112"/>
    </row>
    <row r="13" spans="1:12" s="113" customFormat="1" ht="25.2" customHeight="1">
      <c r="A13" s="108">
        <f>SUBTOTAL(103,$B$2:B13)*1</f>
        <v>11</v>
      </c>
      <c r="B13" s="109" t="s">
        <v>69</v>
      </c>
      <c r="C13" s="177" t="s">
        <v>950</v>
      </c>
      <c r="D13" s="108"/>
      <c r="E13" s="119" t="s">
        <v>1671</v>
      </c>
      <c r="F13" s="108"/>
      <c r="G13" s="213" t="s">
        <v>1671</v>
      </c>
      <c r="H13" s="108" t="s">
        <v>34</v>
      </c>
      <c r="I13" s="104" t="str">
        <f>IF(G13="","",IF(G13=E13,"Pass","Fail"))</f>
        <v>Pass</v>
      </c>
      <c r="J13" s="111" t="s">
        <v>6</v>
      </c>
      <c r="K13" s="111"/>
      <c r="L13" s="112"/>
    </row>
    <row r="14" spans="1:12" s="113" customFormat="1" ht="25.2" customHeight="1">
      <c r="A14" s="108">
        <f>SUBTOTAL(103,$B$2:B14)*1</f>
        <v>12</v>
      </c>
      <c r="B14" s="109" t="s">
        <v>69</v>
      </c>
      <c r="C14" s="177" t="s">
        <v>951</v>
      </c>
      <c r="D14" s="108">
        <v>2.5</v>
      </c>
      <c r="E14" s="110"/>
      <c r="F14" s="108">
        <v>3.5</v>
      </c>
      <c r="G14" s="120">
        <v>2.9279999999999999</v>
      </c>
      <c r="H14" s="108" t="s">
        <v>126</v>
      </c>
      <c r="I14" s="104" t="str">
        <f t="shared" ref="I14:I34" si="2">IF(G14="","",IF(AND(G14&gt;=D14,G14&lt;=F14),"Pass","Fail"))</f>
        <v>Pass</v>
      </c>
      <c r="J14" s="111" t="s">
        <v>13</v>
      </c>
      <c r="K14" s="121"/>
      <c r="L14" s="112"/>
    </row>
    <row r="15" spans="1:12" s="113" customFormat="1" ht="25.2" customHeight="1">
      <c r="A15" s="108">
        <f>SUBTOTAL(103,$B$2:B15)*1</f>
        <v>13</v>
      </c>
      <c r="B15" s="109" t="s">
        <v>69</v>
      </c>
      <c r="C15" s="177" t="s">
        <v>1351</v>
      </c>
      <c r="D15" s="108"/>
      <c r="E15" s="110">
        <v>1</v>
      </c>
      <c r="F15" s="108"/>
      <c r="G15" s="102">
        <v>1</v>
      </c>
      <c r="H15" s="108" t="s">
        <v>34</v>
      </c>
      <c r="I15" s="104" t="s">
        <v>1672</v>
      </c>
      <c r="J15" s="111" t="s">
        <v>6</v>
      </c>
      <c r="K15" s="121"/>
      <c r="L15" s="112" t="s">
        <v>1353</v>
      </c>
    </row>
    <row r="16" spans="1:12" s="113" customFormat="1" ht="25.2" customHeight="1">
      <c r="A16" s="108">
        <f>SUBTOTAL(103,$B$2:B16)*1</f>
        <v>14</v>
      </c>
      <c r="B16" s="109" t="s">
        <v>69</v>
      </c>
      <c r="C16" s="177" t="s">
        <v>1352</v>
      </c>
      <c r="D16" s="108"/>
      <c r="E16" s="110">
        <v>1</v>
      </c>
      <c r="F16" s="108"/>
      <c r="G16" s="102">
        <v>1</v>
      </c>
      <c r="H16" s="108" t="s">
        <v>34</v>
      </c>
      <c r="I16" s="104" t="s">
        <v>1672</v>
      </c>
      <c r="J16" s="111" t="s">
        <v>6</v>
      </c>
      <c r="K16" s="121"/>
      <c r="L16" s="112" t="s">
        <v>1354</v>
      </c>
    </row>
    <row r="17" spans="1:12" s="113" customFormat="1" ht="37.200000000000003" customHeight="1">
      <c r="A17" s="108">
        <f>SUBTOTAL(103,$B$2:B17)*1</f>
        <v>15</v>
      </c>
      <c r="B17" s="109" t="s">
        <v>69</v>
      </c>
      <c r="C17" s="177" t="s">
        <v>1639</v>
      </c>
      <c r="D17" s="108"/>
      <c r="E17" s="110" t="s">
        <v>16</v>
      </c>
      <c r="F17" s="108"/>
      <c r="G17" s="102" t="s">
        <v>1666</v>
      </c>
      <c r="H17" s="108" t="s">
        <v>34</v>
      </c>
      <c r="I17" s="104" t="str">
        <f t="shared" ref="I17" si="3">IF(G17="","",IF(G17=E17,"Pass","Fail"))</f>
        <v>Pass</v>
      </c>
      <c r="J17" s="111" t="s">
        <v>13</v>
      </c>
      <c r="K17" s="121"/>
      <c r="L17" s="112" t="s">
        <v>1637</v>
      </c>
    </row>
    <row r="18" spans="1:12" s="113" customFormat="1" ht="25.2" customHeight="1">
      <c r="A18" s="108">
        <f>SUBTOTAL(103,$B$2:B18)*1</f>
        <v>16</v>
      </c>
      <c r="B18" s="109" t="s">
        <v>69</v>
      </c>
      <c r="C18" s="177" t="s">
        <v>1629</v>
      </c>
      <c r="D18" s="108"/>
      <c r="E18" s="110" t="s">
        <v>1627</v>
      </c>
      <c r="F18" s="108"/>
      <c r="G18" s="102">
        <v>0.06</v>
      </c>
      <c r="H18" s="108" t="s">
        <v>137</v>
      </c>
      <c r="I18" s="104" t="s">
        <v>1665</v>
      </c>
      <c r="J18" s="111" t="s">
        <v>13</v>
      </c>
      <c r="K18" s="121"/>
      <c r="L18" s="112" t="s">
        <v>1634</v>
      </c>
    </row>
    <row r="19" spans="1:12" s="113" customFormat="1" ht="25.2" customHeight="1">
      <c r="A19" s="108">
        <f>SUBTOTAL(103,$B$2:B19)*1</f>
        <v>17</v>
      </c>
      <c r="B19" s="109" t="s">
        <v>69</v>
      </c>
      <c r="C19" s="177" t="s">
        <v>1631</v>
      </c>
      <c r="D19" s="108">
        <v>0.1</v>
      </c>
      <c r="E19" s="110"/>
      <c r="F19" s="108">
        <v>50</v>
      </c>
      <c r="G19" s="102">
        <v>1.24</v>
      </c>
      <c r="H19" s="108" t="s">
        <v>137</v>
      </c>
      <c r="I19" s="104" t="str">
        <f t="shared" si="2"/>
        <v>Pass</v>
      </c>
      <c r="J19" s="111" t="s">
        <v>13</v>
      </c>
      <c r="K19" s="121"/>
      <c r="L19" s="112" t="s">
        <v>1635</v>
      </c>
    </row>
    <row r="20" spans="1:12" s="113" customFormat="1" ht="25.2" customHeight="1">
      <c r="A20" s="108">
        <f>SUBTOTAL(103,$B$2:B20)*1</f>
        <v>18</v>
      </c>
      <c r="B20" s="109" t="s">
        <v>69</v>
      </c>
      <c r="C20" s="177" t="s">
        <v>1633</v>
      </c>
      <c r="D20" s="108"/>
      <c r="E20" s="110" t="s">
        <v>1627</v>
      </c>
      <c r="F20" s="108"/>
      <c r="G20" s="102">
        <v>6.18</v>
      </c>
      <c r="H20" s="108" t="s">
        <v>137</v>
      </c>
      <c r="I20" s="104" t="s">
        <v>1665</v>
      </c>
      <c r="J20" s="111" t="s">
        <v>13</v>
      </c>
      <c r="K20" s="121"/>
      <c r="L20" s="112" t="s">
        <v>1636</v>
      </c>
    </row>
    <row r="21" spans="1:12" s="113" customFormat="1" ht="37.200000000000003">
      <c r="A21" s="108">
        <f>SUBTOTAL(103,$B$2:B21)*1</f>
        <v>19</v>
      </c>
      <c r="B21" s="109" t="s">
        <v>69</v>
      </c>
      <c r="C21" s="162" t="s">
        <v>848</v>
      </c>
      <c r="D21" s="108"/>
      <c r="E21" s="110" t="s">
        <v>34</v>
      </c>
      <c r="F21" s="123"/>
      <c r="G21" s="102" t="s">
        <v>1673</v>
      </c>
      <c r="H21" s="108" t="s">
        <v>125</v>
      </c>
      <c r="I21" s="104" t="s">
        <v>1665</v>
      </c>
      <c r="J21" s="111" t="s">
        <v>6</v>
      </c>
      <c r="K21" s="111"/>
      <c r="L21" s="124" t="s">
        <v>927</v>
      </c>
    </row>
    <row r="22" spans="1:12" s="113" customFormat="1" ht="25.2" customHeight="1">
      <c r="A22" s="108">
        <f>SUBTOTAL(103,$B$2:B22)*1</f>
        <v>20</v>
      </c>
      <c r="B22" s="109" t="s">
        <v>69</v>
      </c>
      <c r="C22" s="177" t="s">
        <v>546</v>
      </c>
      <c r="D22" s="108"/>
      <c r="E22" s="119"/>
      <c r="F22" s="200">
        <v>2</v>
      </c>
      <c r="G22" s="131">
        <v>0.05</v>
      </c>
      <c r="H22" s="108" t="s">
        <v>137</v>
      </c>
      <c r="I22" s="104" t="str">
        <f>IF(G22="","",IF(AND(G22&lt;=F22),"Pass","Fail"))</f>
        <v>Pass</v>
      </c>
      <c r="J22" s="111" t="s">
        <v>13</v>
      </c>
      <c r="K22" s="121" t="s">
        <v>993</v>
      </c>
      <c r="L22" s="112" t="s">
        <v>1419</v>
      </c>
    </row>
    <row r="23" spans="1:12" s="113" customFormat="1" ht="25.2" customHeight="1">
      <c r="A23" s="108">
        <f>SUBTOTAL(103,$B$2:B23)*1</f>
        <v>21</v>
      </c>
      <c r="B23" s="109" t="s">
        <v>69</v>
      </c>
      <c r="C23" s="177" t="s">
        <v>953</v>
      </c>
      <c r="D23" s="108">
        <v>10</v>
      </c>
      <c r="E23" s="110"/>
      <c r="F23" s="117">
        <v>18</v>
      </c>
      <c r="G23" s="125">
        <v>12.72</v>
      </c>
      <c r="H23" s="117" t="s">
        <v>126</v>
      </c>
      <c r="I23" s="104" t="str">
        <f>IF(G23="","",IF(AND(G23&gt;=D23,G23&lt;=F23),"Pass","Fail"))</f>
        <v>Pass</v>
      </c>
      <c r="J23" s="111" t="s">
        <v>13</v>
      </c>
      <c r="K23" s="121" t="s">
        <v>993</v>
      </c>
      <c r="L23" s="112" t="s">
        <v>762</v>
      </c>
    </row>
    <row r="24" spans="1:12" s="113" customFormat="1" ht="25.2" customHeight="1">
      <c r="A24" s="108">
        <f>SUBTOTAL(103,$B$2:B24)*1</f>
        <v>22</v>
      </c>
      <c r="B24" s="109" t="s">
        <v>69</v>
      </c>
      <c r="C24" s="177" t="s">
        <v>1522</v>
      </c>
      <c r="D24" s="108">
        <v>458.4</v>
      </c>
      <c r="E24" s="110">
        <v>461.2</v>
      </c>
      <c r="F24" s="200">
        <v>464</v>
      </c>
      <c r="G24" s="125">
        <v>461.2</v>
      </c>
      <c r="H24" s="108" t="s">
        <v>125</v>
      </c>
      <c r="I24" s="104" t="s">
        <v>1665</v>
      </c>
      <c r="J24" s="111" t="s">
        <v>6</v>
      </c>
      <c r="K24" s="121"/>
      <c r="L24" s="124" t="s">
        <v>1527</v>
      </c>
    </row>
    <row r="25" spans="1:12" s="113" customFormat="1" ht="25.2" customHeight="1">
      <c r="A25" s="108">
        <f>SUBTOTAL(103,$B$2:B25)*1</f>
        <v>23</v>
      </c>
      <c r="B25" s="109" t="s">
        <v>69</v>
      </c>
      <c r="C25" s="177" t="s">
        <v>1532</v>
      </c>
      <c r="D25" s="108"/>
      <c r="E25" s="110"/>
      <c r="F25" s="117">
        <v>0.5</v>
      </c>
      <c r="G25" s="131">
        <f>ABS(($E$24-G26)/$E$24*100)</f>
        <v>7.3503902862098583E-2</v>
      </c>
      <c r="H25" s="117" t="s">
        <v>1511</v>
      </c>
      <c r="I25" s="104" t="str">
        <f>IF(G25="","",IF(G25&lt;=F25,"Pass","Fail"))</f>
        <v>Pass</v>
      </c>
      <c r="J25" s="111" t="s">
        <v>41</v>
      </c>
      <c r="K25" s="121" t="s">
        <v>993</v>
      </c>
      <c r="L25" s="112"/>
    </row>
    <row r="26" spans="1:12" s="113" customFormat="1" ht="25.2" customHeight="1">
      <c r="A26" s="108">
        <f>SUBTOTAL(103,$B$2:B26)*1</f>
        <v>24</v>
      </c>
      <c r="B26" s="109" t="s">
        <v>69</v>
      </c>
      <c r="C26" s="177" t="s">
        <v>1524</v>
      </c>
      <c r="D26" s="108"/>
      <c r="E26" s="110" t="s">
        <v>1519</v>
      </c>
      <c r="F26" s="117"/>
      <c r="G26" s="125">
        <v>461.53899999999999</v>
      </c>
      <c r="H26" s="117" t="s">
        <v>1520</v>
      </c>
      <c r="I26" s="104" t="s">
        <v>1665</v>
      </c>
      <c r="J26" s="111" t="s">
        <v>41</v>
      </c>
      <c r="K26" s="121"/>
      <c r="L26" s="112"/>
    </row>
    <row r="27" spans="1:12" s="113" customFormat="1" ht="25.2" customHeight="1">
      <c r="A27" s="108">
        <f>SUBTOTAL(103,$B$2:B27)*1</f>
        <v>25</v>
      </c>
      <c r="B27" s="109" t="s">
        <v>69</v>
      </c>
      <c r="C27" s="177" t="s">
        <v>1533</v>
      </c>
      <c r="D27" s="108"/>
      <c r="E27" s="110"/>
      <c r="F27" s="117">
        <v>0.5</v>
      </c>
      <c r="G27" s="131">
        <f>ABS(($E$24-G28)/$E$24*100)</f>
        <v>0.27341717259324028</v>
      </c>
      <c r="H27" s="117" t="s">
        <v>1511</v>
      </c>
      <c r="I27" s="104" t="str">
        <f>IF(G27="","",IF(G27&lt;=F27,"Pass","Fail"))</f>
        <v>Pass</v>
      </c>
      <c r="J27" s="111" t="s">
        <v>41</v>
      </c>
      <c r="K27" s="121" t="s">
        <v>993</v>
      </c>
      <c r="L27" s="112"/>
    </row>
    <row r="28" spans="1:12" s="113" customFormat="1" ht="25.2" customHeight="1">
      <c r="A28" s="108">
        <f>SUBTOTAL(103,$B$2:B28)*1</f>
        <v>26</v>
      </c>
      <c r="B28" s="109" t="s">
        <v>69</v>
      </c>
      <c r="C28" s="177" t="s">
        <v>1526</v>
      </c>
      <c r="D28" s="108"/>
      <c r="E28" s="110" t="s">
        <v>1519</v>
      </c>
      <c r="F28" s="117"/>
      <c r="G28" s="125">
        <v>462.46100000000001</v>
      </c>
      <c r="H28" s="117" t="s">
        <v>1520</v>
      </c>
      <c r="I28" s="104" t="s">
        <v>1665</v>
      </c>
      <c r="J28" s="111" t="s">
        <v>41</v>
      </c>
      <c r="K28" s="121"/>
      <c r="L28" s="112"/>
    </row>
    <row r="29" spans="1:12" s="113" customFormat="1" ht="25.2" customHeight="1">
      <c r="A29" s="108">
        <f>SUBTOTAL(103,$B$2:B29)*1</f>
        <v>27</v>
      </c>
      <c r="B29" s="109" t="s">
        <v>711</v>
      </c>
      <c r="C29" s="177" t="s">
        <v>708</v>
      </c>
      <c r="D29" s="108">
        <v>0.98</v>
      </c>
      <c r="E29" s="110"/>
      <c r="F29" s="108">
        <v>1.02</v>
      </c>
      <c r="G29" s="126">
        <f>LINEST(G31:G34,E31:E34)</f>
        <v>0.99771014717754913</v>
      </c>
      <c r="H29" s="108" t="s">
        <v>34</v>
      </c>
      <c r="I29" s="104" t="str">
        <f t="shared" si="2"/>
        <v>Pass</v>
      </c>
      <c r="J29" s="111" t="s">
        <v>13</v>
      </c>
      <c r="K29" s="121" t="s">
        <v>993</v>
      </c>
      <c r="L29" s="112" t="s">
        <v>753</v>
      </c>
    </row>
    <row r="30" spans="1:12" s="113" customFormat="1" ht="25.2" hidden="1" customHeight="1">
      <c r="A30" s="108">
        <f>SUBTOTAL(103,$B$2:B30)*1</f>
        <v>27</v>
      </c>
      <c r="B30" s="109" t="s">
        <v>711</v>
      </c>
      <c r="C30" s="191" t="s">
        <v>749</v>
      </c>
      <c r="D30" s="128">
        <f>E30-10</f>
        <v>1773</v>
      </c>
      <c r="E30" s="110">
        <v>1783</v>
      </c>
      <c r="F30" s="128">
        <f>E30+10</f>
        <v>1793</v>
      </c>
      <c r="G30" s="120">
        <v>1782.5840000000001</v>
      </c>
      <c r="H30" s="108" t="s">
        <v>125</v>
      </c>
      <c r="I30" s="104" t="str">
        <f t="shared" si="2"/>
        <v>Pass</v>
      </c>
      <c r="J30" s="111" t="s">
        <v>13</v>
      </c>
      <c r="K30" s="111"/>
      <c r="L30" s="112" t="s">
        <v>760</v>
      </c>
    </row>
    <row r="31" spans="1:12" s="113" customFormat="1" ht="25.2" customHeight="1">
      <c r="A31" s="108">
        <f>SUBTOTAL(103,$B$2:B31)*1</f>
        <v>28</v>
      </c>
      <c r="B31" s="109" t="s">
        <v>711</v>
      </c>
      <c r="C31" s="191" t="s">
        <v>1039</v>
      </c>
      <c r="D31" s="214">
        <f>E31-5.6</f>
        <v>943</v>
      </c>
      <c r="E31" s="110">
        <v>948.6</v>
      </c>
      <c r="F31" s="128">
        <f>E31+5.6</f>
        <v>954.2</v>
      </c>
      <c r="G31" s="120">
        <v>945.67550000000006</v>
      </c>
      <c r="H31" s="108" t="s">
        <v>125</v>
      </c>
      <c r="I31" s="104" t="str">
        <f t="shared" si="2"/>
        <v>Pass</v>
      </c>
      <c r="J31" s="111" t="s">
        <v>13</v>
      </c>
      <c r="K31" s="111"/>
      <c r="L31" s="112" t="s">
        <v>497</v>
      </c>
    </row>
    <row r="32" spans="1:12" s="113" customFormat="1" ht="25.2" customHeight="1">
      <c r="A32" s="108">
        <f>SUBTOTAL(103,$B$2:B32)*1</f>
        <v>29</v>
      </c>
      <c r="B32" s="109" t="s">
        <v>711</v>
      </c>
      <c r="C32" s="191" t="s">
        <v>1041</v>
      </c>
      <c r="D32" s="107">
        <f>E32-2.8</f>
        <v>458.4</v>
      </c>
      <c r="E32" s="110">
        <v>461.2</v>
      </c>
      <c r="F32" s="214">
        <f>E32+2.8</f>
        <v>464</v>
      </c>
      <c r="G32" s="120">
        <v>460.54109999999997</v>
      </c>
      <c r="H32" s="108" t="s">
        <v>125</v>
      </c>
      <c r="I32" s="104" t="str">
        <f t="shared" si="2"/>
        <v>Pass</v>
      </c>
      <c r="J32" s="111" t="s">
        <v>13</v>
      </c>
      <c r="K32" s="111"/>
      <c r="L32" s="112" t="s">
        <v>497</v>
      </c>
    </row>
    <row r="33" spans="1:12" s="113" customFormat="1" ht="25.2" customHeight="1">
      <c r="A33" s="108">
        <f>SUBTOTAL(103,$B$2:B33)*1</f>
        <v>30</v>
      </c>
      <c r="B33" s="109" t="s">
        <v>711</v>
      </c>
      <c r="C33" s="191" t="s">
        <v>1043</v>
      </c>
      <c r="D33" s="128">
        <f>E33-2</f>
        <v>181.8</v>
      </c>
      <c r="E33" s="110">
        <v>183.8</v>
      </c>
      <c r="F33" s="128">
        <f>E33+2</f>
        <v>185.8</v>
      </c>
      <c r="G33" s="120">
        <v>182.36680000000001</v>
      </c>
      <c r="H33" s="108" t="s">
        <v>125</v>
      </c>
      <c r="I33" s="104" t="str">
        <f t="shared" si="2"/>
        <v>Pass</v>
      </c>
      <c r="J33" s="111" t="s">
        <v>13</v>
      </c>
      <c r="K33" s="111"/>
      <c r="L33" s="112" t="s">
        <v>497</v>
      </c>
    </row>
    <row r="34" spans="1:12" s="113" customFormat="1" ht="25.2" customHeight="1">
      <c r="A34" s="108">
        <f>SUBTOTAL(103,$B$2:B34)*1</f>
        <v>31</v>
      </c>
      <c r="B34" s="109" t="s">
        <v>711</v>
      </c>
      <c r="C34" s="177" t="s">
        <v>1045</v>
      </c>
      <c r="D34" s="128">
        <f>E34-0.9</f>
        <v>15.200000000000001</v>
      </c>
      <c r="E34" s="110">
        <v>16.100000000000001</v>
      </c>
      <c r="F34" s="214">
        <f>E34+0.9</f>
        <v>17</v>
      </c>
      <c r="G34" s="120">
        <v>15.6328</v>
      </c>
      <c r="H34" s="108" t="s">
        <v>125</v>
      </c>
      <c r="I34" s="104" t="str">
        <f t="shared" si="2"/>
        <v>Pass</v>
      </c>
      <c r="J34" s="111" t="s">
        <v>13</v>
      </c>
      <c r="K34" s="111"/>
      <c r="L34" s="112" t="s">
        <v>497</v>
      </c>
    </row>
    <row r="35" spans="1:12" s="113" customFormat="1" ht="25.2" hidden="1" customHeight="1">
      <c r="A35" s="108">
        <f>SUBTOTAL(103,$B$2:B35)*1</f>
        <v>31</v>
      </c>
      <c r="B35" s="109" t="s">
        <v>712</v>
      </c>
      <c r="C35" s="177" t="s">
        <v>708</v>
      </c>
      <c r="D35" s="108">
        <v>0.98</v>
      </c>
      <c r="E35" s="110"/>
      <c r="F35" s="108">
        <v>1.02</v>
      </c>
      <c r="G35" s="126" t="e">
        <f>LINEST(G37:G40,E37:E40)</f>
        <v>#VALUE!</v>
      </c>
      <c r="H35" s="108" t="s">
        <v>34</v>
      </c>
      <c r="I35" s="104" t="e">
        <f>IF(G35="","",IF(AND(G35&gt;=D35,G35&lt;=F35),"Pass","Fail"))</f>
        <v>#VALUE!</v>
      </c>
      <c r="J35" s="111" t="s">
        <v>13</v>
      </c>
      <c r="K35" s="121" t="s">
        <v>993</v>
      </c>
      <c r="L35" s="112" t="s">
        <v>753</v>
      </c>
    </row>
    <row r="36" spans="1:12" s="113" customFormat="1" ht="25.2" hidden="1" customHeight="1">
      <c r="A36" s="108">
        <f>SUBTOTAL(103,$B$2:B36)*1</f>
        <v>31</v>
      </c>
      <c r="B36" s="109" t="s">
        <v>712</v>
      </c>
      <c r="C36" s="191" t="s">
        <v>749</v>
      </c>
      <c r="D36" s="128"/>
      <c r="E36" s="110"/>
      <c r="F36" s="128"/>
      <c r="G36" s="120"/>
      <c r="H36" s="108" t="s">
        <v>125</v>
      </c>
      <c r="I36" s="104" t="s">
        <v>34</v>
      </c>
      <c r="J36" s="111" t="s">
        <v>13</v>
      </c>
      <c r="K36" s="111"/>
      <c r="L36" s="112" t="s">
        <v>760</v>
      </c>
    </row>
    <row r="37" spans="1:12" s="113" customFormat="1" ht="25.2" hidden="1" customHeight="1">
      <c r="A37" s="108">
        <f>SUBTOTAL(103,$B$2:B37)*1</f>
        <v>31</v>
      </c>
      <c r="B37" s="109" t="s">
        <v>712</v>
      </c>
      <c r="C37" s="191" t="s">
        <v>1039</v>
      </c>
      <c r="D37" s="128"/>
      <c r="E37" s="110"/>
      <c r="F37" s="128"/>
      <c r="G37" s="120"/>
      <c r="H37" s="108" t="s">
        <v>125</v>
      </c>
      <c r="I37" s="104" t="str">
        <f>IF(G37="","",IF(AND(G37&gt;=D37,G37&lt;=F37),"Pass","Fail"))</f>
        <v/>
      </c>
      <c r="J37" s="111" t="s">
        <v>13</v>
      </c>
      <c r="K37" s="111"/>
      <c r="L37" s="112" t="s">
        <v>497</v>
      </c>
    </row>
    <row r="38" spans="1:12" s="113" customFormat="1" ht="25.2" hidden="1" customHeight="1">
      <c r="A38" s="108">
        <f>SUBTOTAL(103,$B$2:B38)*1</f>
        <v>31</v>
      </c>
      <c r="B38" s="109" t="s">
        <v>712</v>
      </c>
      <c r="C38" s="191" t="s">
        <v>1041</v>
      </c>
      <c r="D38" s="128"/>
      <c r="E38" s="110"/>
      <c r="F38" s="128"/>
      <c r="G38" s="120"/>
      <c r="H38" s="108" t="s">
        <v>125</v>
      </c>
      <c r="I38" s="104" t="str">
        <f>IF(G38="","",IF(AND(G38&gt;=D38,G38&lt;=F38),"Pass","Fail"))</f>
        <v/>
      </c>
      <c r="J38" s="111" t="s">
        <v>13</v>
      </c>
      <c r="K38" s="111"/>
      <c r="L38" s="112" t="s">
        <v>497</v>
      </c>
    </row>
    <row r="39" spans="1:12" s="113" customFormat="1" ht="25.2" hidden="1" customHeight="1">
      <c r="A39" s="108">
        <f>SUBTOTAL(103,$B$2:B39)*1</f>
        <v>31</v>
      </c>
      <c r="B39" s="109" t="s">
        <v>712</v>
      </c>
      <c r="C39" s="191" t="s">
        <v>1043</v>
      </c>
      <c r="D39" s="128"/>
      <c r="E39" s="110"/>
      <c r="F39" s="128"/>
      <c r="G39" s="120"/>
      <c r="H39" s="108" t="s">
        <v>125</v>
      </c>
      <c r="I39" s="104" t="str">
        <f>IF(G39="","",IF(AND(G39&gt;=D39,G39&lt;=F39),"Pass","Fail"))</f>
        <v/>
      </c>
      <c r="J39" s="111" t="s">
        <v>13</v>
      </c>
      <c r="K39" s="111"/>
      <c r="L39" s="112" t="s">
        <v>497</v>
      </c>
    </row>
    <row r="40" spans="1:12" s="113" customFormat="1" ht="25.2" hidden="1" customHeight="1">
      <c r="A40" s="108">
        <f>SUBTOTAL(103,$B$2:B40)*1</f>
        <v>31</v>
      </c>
      <c r="B40" s="109" t="s">
        <v>712</v>
      </c>
      <c r="C40" s="177" t="s">
        <v>1045</v>
      </c>
      <c r="D40" s="128"/>
      <c r="E40" s="110"/>
      <c r="F40" s="128"/>
      <c r="G40" s="120"/>
      <c r="H40" s="108" t="s">
        <v>125</v>
      </c>
      <c r="I40" s="104"/>
      <c r="J40" s="111" t="s">
        <v>13</v>
      </c>
      <c r="K40" s="111"/>
      <c r="L40" s="112"/>
    </row>
    <row r="41" spans="1:12" s="113" customFormat="1" ht="25.2" hidden="1" customHeight="1">
      <c r="A41" s="108">
        <f>SUBTOTAL(103,$B$2:B41)*1</f>
        <v>31</v>
      </c>
      <c r="B41" s="109" t="s">
        <v>174</v>
      </c>
      <c r="C41" s="177" t="s">
        <v>954</v>
      </c>
      <c r="D41" s="108">
        <v>39</v>
      </c>
      <c r="E41" s="119"/>
      <c r="F41" s="117">
        <v>46</v>
      </c>
      <c r="G41" s="118"/>
      <c r="H41" s="117" t="s">
        <v>127</v>
      </c>
      <c r="I41" s="104" t="str">
        <f>IF(G41="","",IF(AND(G41&gt;=D41,G41&lt;=F41),"Pass","Fail"))</f>
        <v/>
      </c>
      <c r="J41" s="111" t="s">
        <v>13</v>
      </c>
      <c r="K41" s="121" t="s">
        <v>993</v>
      </c>
      <c r="L41" s="112" t="s">
        <v>762</v>
      </c>
    </row>
    <row r="42" spans="1:12" s="113" customFormat="1" ht="37.200000000000003" hidden="1">
      <c r="A42" s="108">
        <f>SUBTOTAL(103,$B$2:B42)*1</f>
        <v>31</v>
      </c>
      <c r="B42" s="109" t="s">
        <v>174</v>
      </c>
      <c r="C42" s="177" t="s">
        <v>1433</v>
      </c>
      <c r="D42" s="108">
        <v>43</v>
      </c>
      <c r="E42" s="110"/>
      <c r="F42" s="108">
        <v>92</v>
      </c>
      <c r="G42" s="102"/>
      <c r="H42" s="108" t="s">
        <v>34</v>
      </c>
      <c r="I42" s="104" t="str">
        <f>IF(G42="","",IF(AND(G42&gt;=D42,G42&lt;=F42),"Pass","Fail"))</f>
        <v/>
      </c>
      <c r="J42" s="111" t="s">
        <v>41</v>
      </c>
      <c r="K42" s="121" t="s">
        <v>993</v>
      </c>
      <c r="L42" s="112"/>
    </row>
    <row r="43" spans="1:12" s="113" customFormat="1" ht="37.200000000000003" hidden="1">
      <c r="A43" s="108">
        <f>SUBTOTAL(103,$B$2:B43)*1</f>
        <v>31</v>
      </c>
      <c r="B43" s="109" t="s">
        <v>174</v>
      </c>
      <c r="C43" s="191" t="s">
        <v>1434</v>
      </c>
      <c r="D43" s="108">
        <v>24</v>
      </c>
      <c r="E43" s="110"/>
      <c r="F43" s="108">
        <v>28</v>
      </c>
      <c r="G43" s="102"/>
      <c r="H43" s="108" t="s">
        <v>34</v>
      </c>
      <c r="I43" s="104" t="str">
        <f>IF(G43="","",IF(AND(G43&gt;=D43,G43&lt;=F43),"Pass","Fail"))</f>
        <v/>
      </c>
      <c r="J43" s="111" t="s">
        <v>41</v>
      </c>
      <c r="K43" s="121" t="s">
        <v>993</v>
      </c>
      <c r="L43" s="112"/>
    </row>
    <row r="44" spans="1:12" s="113" customFormat="1" ht="37.200000000000003" hidden="1">
      <c r="A44" s="108">
        <f>SUBTOTAL(103,$B$2:B44)*1</f>
        <v>31</v>
      </c>
      <c r="B44" s="109" t="s">
        <v>174</v>
      </c>
      <c r="C44" s="191" t="s">
        <v>1435</v>
      </c>
      <c r="D44" s="108"/>
      <c r="E44" s="110"/>
      <c r="F44" s="108"/>
      <c r="G44" s="102"/>
      <c r="H44" s="108" t="s">
        <v>34</v>
      </c>
      <c r="I44" s="104"/>
      <c r="J44" s="111" t="s">
        <v>41</v>
      </c>
      <c r="K44" s="121" t="s">
        <v>993</v>
      </c>
      <c r="L44" s="112"/>
    </row>
    <row r="45" spans="1:12" s="113" customFormat="1" ht="37.200000000000003" hidden="1">
      <c r="A45" s="108">
        <f>SUBTOTAL(103,$B$2:B45)*1</f>
        <v>31</v>
      </c>
      <c r="B45" s="109" t="s">
        <v>174</v>
      </c>
      <c r="C45" s="191" t="s">
        <v>1436</v>
      </c>
      <c r="D45" s="108"/>
      <c r="E45" s="110"/>
      <c r="F45" s="108"/>
      <c r="G45" s="102"/>
      <c r="H45" s="108" t="s">
        <v>34</v>
      </c>
      <c r="I45" s="104"/>
      <c r="J45" s="111" t="s">
        <v>41</v>
      </c>
      <c r="K45" s="121" t="s">
        <v>993</v>
      </c>
      <c r="L45" s="112"/>
    </row>
    <row r="46" spans="1:12" s="113" customFormat="1" hidden="1">
      <c r="A46" s="108">
        <f>SUBTOTAL(103,$B$2:B46)*1</f>
        <v>31</v>
      </c>
      <c r="B46" s="109" t="s">
        <v>174</v>
      </c>
      <c r="C46" s="177" t="s">
        <v>165</v>
      </c>
      <c r="D46" s="108"/>
      <c r="E46" s="119"/>
      <c r="F46" s="117">
        <v>0.1</v>
      </c>
      <c r="G46" s="118"/>
      <c r="H46" s="117" t="s">
        <v>125</v>
      </c>
      <c r="I46" s="104" t="str">
        <f>IF(G46="","",IF(G46&lt;=F46,"Pass","Fail"))</f>
        <v/>
      </c>
      <c r="J46" s="111" t="s">
        <v>13</v>
      </c>
      <c r="K46" s="121" t="s">
        <v>993</v>
      </c>
      <c r="L46" s="112"/>
    </row>
    <row r="47" spans="1:12" s="113" customFormat="1">
      <c r="A47" s="108">
        <f>SUBTOTAL(103,$B$2:B47)*1</f>
        <v>32</v>
      </c>
      <c r="B47" s="109" t="s">
        <v>175</v>
      </c>
      <c r="C47" s="177" t="s">
        <v>954</v>
      </c>
      <c r="D47" s="108">
        <v>15</v>
      </c>
      <c r="E47" s="119"/>
      <c r="F47" s="117"/>
      <c r="G47" s="125">
        <v>17.8718</v>
      </c>
      <c r="H47" s="117" t="s">
        <v>127</v>
      </c>
      <c r="I47" s="104" t="str">
        <f>IF(G47="","",IF(G47&gt;=D47,"Pass","Fail"))</f>
        <v>Pass</v>
      </c>
      <c r="J47" s="111" t="s">
        <v>13</v>
      </c>
      <c r="K47" s="121" t="s">
        <v>993</v>
      </c>
      <c r="L47" s="112" t="s">
        <v>762</v>
      </c>
    </row>
    <row r="48" spans="1:12" s="113" customFormat="1" ht="37.200000000000003">
      <c r="A48" s="108">
        <f>SUBTOTAL(103,$B$2:B48)*1</f>
        <v>33</v>
      </c>
      <c r="B48" s="109" t="s">
        <v>175</v>
      </c>
      <c r="C48" s="177" t="s">
        <v>1433</v>
      </c>
      <c r="D48" s="129">
        <v>23</v>
      </c>
      <c r="E48" s="110"/>
      <c r="F48" s="129">
        <v>35</v>
      </c>
      <c r="G48" s="130">
        <v>28.1004</v>
      </c>
      <c r="H48" s="108" t="s">
        <v>34</v>
      </c>
      <c r="I48" s="104" t="str">
        <f>IF(G48="","",IF(AND(G48&gt;=D48,G48&lt;=F48),"Pass","Fail"))</f>
        <v>Pass</v>
      </c>
      <c r="J48" s="111" t="s">
        <v>41</v>
      </c>
      <c r="K48" s="121" t="s">
        <v>993</v>
      </c>
      <c r="L48" s="112"/>
    </row>
    <row r="49" spans="1:12" s="113" customFormat="1" ht="37.200000000000003">
      <c r="A49" s="108">
        <f>SUBTOTAL(103,$B$2:B49)*1</f>
        <v>34</v>
      </c>
      <c r="B49" s="109" t="s">
        <v>175</v>
      </c>
      <c r="C49" s="177" t="s">
        <v>1434</v>
      </c>
      <c r="D49" s="129">
        <v>9</v>
      </c>
      <c r="E49" s="110"/>
      <c r="F49" s="129">
        <v>14</v>
      </c>
      <c r="G49" s="130">
        <v>11.6031</v>
      </c>
      <c r="H49" s="108" t="s">
        <v>34</v>
      </c>
      <c r="I49" s="104" t="str">
        <f>IF(G49="","",IF(AND(G49&gt;=D49,G49&lt;=F49),"Pass","Fail"))</f>
        <v>Pass</v>
      </c>
      <c r="J49" s="111" t="s">
        <v>41</v>
      </c>
      <c r="K49" s="121" t="s">
        <v>993</v>
      </c>
      <c r="L49" s="112"/>
    </row>
    <row r="50" spans="1:12" s="113" customFormat="1" ht="37.200000000000003">
      <c r="A50" s="108">
        <f>SUBTOTAL(103,$B$2:B50)*1</f>
        <v>35</v>
      </c>
      <c r="B50" s="109" t="s">
        <v>175</v>
      </c>
      <c r="C50" s="191" t="s">
        <v>1435</v>
      </c>
      <c r="D50" s="108"/>
      <c r="E50" s="110"/>
      <c r="F50" s="108"/>
      <c r="G50" s="130">
        <v>28.122699999999998</v>
      </c>
      <c r="H50" s="108" t="s">
        <v>34</v>
      </c>
      <c r="I50" s="104" t="s">
        <v>1665</v>
      </c>
      <c r="J50" s="111" t="s">
        <v>41</v>
      </c>
      <c r="K50" s="121" t="s">
        <v>993</v>
      </c>
      <c r="L50" s="112"/>
    </row>
    <row r="51" spans="1:12" s="113" customFormat="1" ht="37.200000000000003">
      <c r="A51" s="108">
        <f>SUBTOTAL(103,$B$2:B51)*1</f>
        <v>36</v>
      </c>
      <c r="B51" s="109" t="s">
        <v>175</v>
      </c>
      <c r="C51" s="191" t="s">
        <v>1436</v>
      </c>
      <c r="D51" s="108"/>
      <c r="E51" s="110"/>
      <c r="F51" s="108"/>
      <c r="G51" s="130">
        <v>11.670999999999999</v>
      </c>
      <c r="H51" s="108" t="s">
        <v>34</v>
      </c>
      <c r="I51" s="104" t="s">
        <v>1665</v>
      </c>
      <c r="J51" s="111" t="s">
        <v>41</v>
      </c>
      <c r="K51" s="121" t="s">
        <v>993</v>
      </c>
      <c r="L51" s="112"/>
    </row>
    <row r="52" spans="1:12" s="113" customFormat="1" ht="25.2" customHeight="1">
      <c r="A52" s="108">
        <f>SUBTOTAL(103,$B$2:B52)*1</f>
        <v>37</v>
      </c>
      <c r="B52" s="109" t="s">
        <v>175</v>
      </c>
      <c r="C52" s="177" t="s">
        <v>165</v>
      </c>
      <c r="D52" s="108">
        <v>0.02</v>
      </c>
      <c r="E52" s="119"/>
      <c r="F52" s="117">
        <v>0.05</v>
      </c>
      <c r="G52" s="229">
        <v>0.03</v>
      </c>
      <c r="H52" s="117" t="s">
        <v>125</v>
      </c>
      <c r="I52" s="104" t="str">
        <f>IF(G52="","",IF(AND(G52&gt;=D52,G52&lt;=F52),"Pass","Fail"))</f>
        <v>Pass</v>
      </c>
      <c r="J52" s="111" t="s">
        <v>13</v>
      </c>
      <c r="K52" s="121" t="s">
        <v>993</v>
      </c>
      <c r="L52" s="112"/>
    </row>
    <row r="53" spans="1:12" s="113" customFormat="1" ht="25.2" customHeight="1">
      <c r="A53" s="108">
        <f>SUBTOTAL(103,$B$2:B53)*1</f>
        <v>38</v>
      </c>
      <c r="B53" s="109" t="s">
        <v>244</v>
      </c>
      <c r="C53" s="177" t="s">
        <v>365</v>
      </c>
      <c r="D53" s="173">
        <v>-0.5</v>
      </c>
      <c r="E53" s="110"/>
      <c r="F53" s="269">
        <v>0.5</v>
      </c>
      <c r="G53" s="229">
        <v>4.0000000000000001E-3</v>
      </c>
      <c r="H53" s="117" t="s">
        <v>126</v>
      </c>
      <c r="I53" s="104" t="str">
        <f>IF(G53="","",IF(AND(G53&gt;=D53,G53&lt;=F53),"Pass","Fail"))</f>
        <v>Pass</v>
      </c>
      <c r="J53" s="111" t="s">
        <v>13</v>
      </c>
      <c r="K53" s="121"/>
      <c r="L53" s="112"/>
    </row>
    <row r="54" spans="1:12" s="113" customFormat="1" ht="25.2" customHeight="1">
      <c r="A54" s="108">
        <f>SUBTOTAL(103,$B$2:B54)*1</f>
        <v>39</v>
      </c>
      <c r="B54" s="109" t="s">
        <v>75</v>
      </c>
      <c r="C54" s="177" t="s">
        <v>366</v>
      </c>
      <c r="D54" s="108"/>
      <c r="E54" s="110" t="s">
        <v>16</v>
      </c>
      <c r="F54" s="108"/>
      <c r="G54" s="118" t="s">
        <v>1666</v>
      </c>
      <c r="H54" s="117" t="s">
        <v>34</v>
      </c>
      <c r="I54" s="104" t="str">
        <f t="shared" ref="I54:I59" si="4">IF(G54="","",IF(G54=E54,"Pass","Fail"))</f>
        <v>Pass</v>
      </c>
      <c r="J54" s="111" t="s">
        <v>6</v>
      </c>
      <c r="K54" s="111"/>
      <c r="L54" s="112"/>
    </row>
    <row r="55" spans="1:12" s="113" customFormat="1" ht="25.2" customHeight="1">
      <c r="A55" s="108">
        <f>SUBTOTAL(103,$B$2:B55)*1</f>
        <v>40</v>
      </c>
      <c r="B55" s="109" t="s">
        <v>75</v>
      </c>
      <c r="C55" s="177" t="s">
        <v>484</v>
      </c>
      <c r="D55" s="108"/>
      <c r="E55" s="110" t="s">
        <v>16</v>
      </c>
      <c r="F55" s="108"/>
      <c r="G55" s="118" t="s">
        <v>1666</v>
      </c>
      <c r="H55" s="117" t="s">
        <v>34</v>
      </c>
      <c r="I55" s="104" t="str">
        <f t="shared" si="4"/>
        <v>Pass</v>
      </c>
      <c r="J55" s="111" t="s">
        <v>6</v>
      </c>
      <c r="K55" s="111"/>
      <c r="L55" s="112"/>
    </row>
    <row r="56" spans="1:12" s="113" customFormat="1" ht="25.2" customHeight="1">
      <c r="A56" s="108">
        <f>SUBTOTAL(103,$B$2:B56)*1</f>
        <v>41</v>
      </c>
      <c r="B56" s="109" t="s">
        <v>75</v>
      </c>
      <c r="C56" s="177" t="s">
        <v>367</v>
      </c>
      <c r="D56" s="108"/>
      <c r="E56" s="110" t="s">
        <v>7</v>
      </c>
      <c r="F56" s="108"/>
      <c r="G56" s="118" t="s">
        <v>1666</v>
      </c>
      <c r="H56" s="117" t="s">
        <v>34</v>
      </c>
      <c r="I56" s="104" t="str">
        <f t="shared" si="4"/>
        <v>Pass</v>
      </c>
      <c r="J56" s="111" t="s">
        <v>6</v>
      </c>
      <c r="K56" s="111"/>
      <c r="L56" s="112"/>
    </row>
    <row r="57" spans="1:12" s="113" customFormat="1" ht="25.2" customHeight="1">
      <c r="A57" s="108">
        <f>SUBTOTAL(103,$B$2:B57)*1</f>
        <v>42</v>
      </c>
      <c r="B57" s="109" t="s">
        <v>75</v>
      </c>
      <c r="C57" s="177" t="s">
        <v>368</v>
      </c>
      <c r="D57" s="108"/>
      <c r="E57" s="110" t="s">
        <v>16</v>
      </c>
      <c r="F57" s="108"/>
      <c r="G57" s="102" t="s">
        <v>1666</v>
      </c>
      <c r="H57" s="117" t="s">
        <v>34</v>
      </c>
      <c r="I57" s="104" t="str">
        <f t="shared" si="4"/>
        <v>Pass</v>
      </c>
      <c r="J57" s="111" t="s">
        <v>6</v>
      </c>
      <c r="K57" s="111"/>
      <c r="L57" s="112"/>
    </row>
    <row r="58" spans="1:12" s="113" customFormat="1" ht="25.2" customHeight="1">
      <c r="A58" s="108">
        <f>SUBTOTAL(103,$B$2:B58)*1</f>
        <v>43</v>
      </c>
      <c r="B58" s="109" t="s">
        <v>75</v>
      </c>
      <c r="C58" s="177" t="s">
        <v>369</v>
      </c>
      <c r="D58" s="108"/>
      <c r="E58" s="110" t="s">
        <v>16</v>
      </c>
      <c r="F58" s="108"/>
      <c r="G58" s="102" t="s">
        <v>1666</v>
      </c>
      <c r="H58" s="117" t="s">
        <v>34</v>
      </c>
      <c r="I58" s="104" t="str">
        <f t="shared" si="4"/>
        <v>Pass</v>
      </c>
      <c r="J58" s="111" t="s">
        <v>6</v>
      </c>
      <c r="K58" s="111"/>
      <c r="L58" s="112"/>
    </row>
    <row r="59" spans="1:12" s="113" customFormat="1" ht="25.2" customHeight="1">
      <c r="A59" s="108">
        <f>SUBTOTAL(103,$B$2:B59)*1</f>
        <v>44</v>
      </c>
      <c r="B59" s="109" t="s">
        <v>75</v>
      </c>
      <c r="C59" s="177" t="s">
        <v>370</v>
      </c>
      <c r="D59" s="108"/>
      <c r="E59" s="110" t="s">
        <v>16</v>
      </c>
      <c r="F59" s="108"/>
      <c r="G59" s="102" t="s">
        <v>1666</v>
      </c>
      <c r="H59" s="117" t="s">
        <v>34</v>
      </c>
      <c r="I59" s="104" t="str">
        <f t="shared" si="4"/>
        <v>Pass</v>
      </c>
      <c r="J59" s="111" t="s">
        <v>6</v>
      </c>
      <c r="K59" s="111"/>
      <c r="L59" s="112"/>
    </row>
    <row r="60" spans="1:12" s="113" customFormat="1" ht="25.2" customHeight="1">
      <c r="A60" s="108">
        <f>SUBTOTAL(103,$B$2:B60)*1</f>
        <v>45</v>
      </c>
      <c r="B60" s="109" t="s">
        <v>257</v>
      </c>
      <c r="C60" s="177" t="s">
        <v>1420</v>
      </c>
      <c r="D60" s="108">
        <v>-0.25</v>
      </c>
      <c r="E60" s="110"/>
      <c r="F60" s="108">
        <v>0.25</v>
      </c>
      <c r="G60" s="126">
        <v>0.14000000000000001</v>
      </c>
      <c r="H60" s="108" t="s">
        <v>126</v>
      </c>
      <c r="I60" s="104" t="str">
        <f>IF(G60="","",IF(AND(G60&gt;=D60,G60&lt;=F60),"Pass","Fail"))</f>
        <v>Pass</v>
      </c>
      <c r="J60" s="111" t="s">
        <v>13</v>
      </c>
      <c r="K60" s="121"/>
      <c r="L60" s="112"/>
    </row>
    <row r="61" spans="1:12" s="113" customFormat="1" ht="25.2" customHeight="1">
      <c r="A61" s="108">
        <f>SUBTOTAL(103,$B$2:B61)*1</f>
        <v>46</v>
      </c>
      <c r="B61" s="109" t="s">
        <v>257</v>
      </c>
      <c r="C61" s="177" t="s">
        <v>1421</v>
      </c>
      <c r="D61" s="108">
        <v>-1</v>
      </c>
      <c r="E61" s="110"/>
      <c r="F61" s="132">
        <v>1</v>
      </c>
      <c r="G61" s="120">
        <v>0.97</v>
      </c>
      <c r="H61" s="108" t="s">
        <v>126</v>
      </c>
      <c r="I61" s="104" t="str">
        <f>IF(G61="","",IF(AND(G61&gt;=D61,G61&lt;=F61),"Pass","Fail"))</f>
        <v>Pass</v>
      </c>
      <c r="J61" s="111" t="s">
        <v>13</v>
      </c>
      <c r="K61" s="121"/>
      <c r="L61" s="112"/>
    </row>
    <row r="62" spans="1:12" s="113" customFormat="1" ht="25.2" customHeight="1">
      <c r="A62" s="108">
        <f>SUBTOTAL(103,$B$2:B62)*1</f>
        <v>47</v>
      </c>
      <c r="B62" s="109" t="s">
        <v>76</v>
      </c>
      <c r="C62" s="177" t="s">
        <v>1135</v>
      </c>
      <c r="D62" s="108"/>
      <c r="E62" s="110" t="s">
        <v>1674</v>
      </c>
      <c r="F62" s="132"/>
      <c r="G62" s="102" t="s">
        <v>1674</v>
      </c>
      <c r="H62" s="108" t="s">
        <v>34</v>
      </c>
      <c r="I62" s="104" t="str">
        <f t="shared" ref="I62:I127" si="5">IF(G62="","",IF(G62=E62,"Pass","Fail"))</f>
        <v>Pass</v>
      </c>
      <c r="J62" s="111" t="s">
        <v>6</v>
      </c>
      <c r="K62" s="121"/>
      <c r="L62" s="112"/>
    </row>
    <row r="63" spans="1:12" s="113" customFormat="1" ht="25.2" customHeight="1">
      <c r="A63" s="108">
        <f>SUBTOTAL(103,$B$2:B63)*1</f>
        <v>48</v>
      </c>
      <c r="B63" s="109" t="s">
        <v>76</v>
      </c>
      <c r="C63" s="177" t="s">
        <v>77</v>
      </c>
      <c r="D63" s="108"/>
      <c r="E63" s="110" t="s">
        <v>7</v>
      </c>
      <c r="F63" s="108"/>
      <c r="G63" s="102" t="s">
        <v>7</v>
      </c>
      <c r="H63" s="108" t="s">
        <v>34</v>
      </c>
      <c r="I63" s="104" t="str">
        <f t="shared" si="5"/>
        <v>Pass</v>
      </c>
      <c r="J63" s="111" t="s">
        <v>6</v>
      </c>
      <c r="K63" s="111"/>
      <c r="L63" s="112"/>
    </row>
    <row r="64" spans="1:12" s="113" customFormat="1" ht="25.2" customHeight="1">
      <c r="A64" s="108">
        <f>SUBTOTAL(103,$B$2:B64)*1</f>
        <v>49</v>
      </c>
      <c r="B64" s="109" t="s">
        <v>76</v>
      </c>
      <c r="C64" s="177" t="s">
        <v>78</v>
      </c>
      <c r="D64" s="108"/>
      <c r="E64" s="110" t="s">
        <v>7</v>
      </c>
      <c r="F64" s="108"/>
      <c r="G64" s="102" t="s">
        <v>7</v>
      </c>
      <c r="H64" s="108" t="s">
        <v>34</v>
      </c>
      <c r="I64" s="104" t="str">
        <f t="shared" si="5"/>
        <v>Pass</v>
      </c>
      <c r="J64" s="111" t="s">
        <v>6</v>
      </c>
      <c r="K64" s="111"/>
      <c r="L64" s="112"/>
    </row>
    <row r="65" spans="1:12" s="113" customFormat="1" ht="25.2" customHeight="1">
      <c r="A65" s="108">
        <f>SUBTOTAL(103,$B$2:B65)*1</f>
        <v>50</v>
      </c>
      <c r="B65" s="109" t="s">
        <v>76</v>
      </c>
      <c r="C65" s="177" t="s">
        <v>374</v>
      </c>
      <c r="D65" s="108"/>
      <c r="E65" s="110" t="s">
        <v>57</v>
      </c>
      <c r="F65" s="108"/>
      <c r="G65" s="102" t="s">
        <v>57</v>
      </c>
      <c r="H65" s="108" t="s">
        <v>34</v>
      </c>
      <c r="I65" s="104" t="str">
        <f t="shared" si="5"/>
        <v>Pass</v>
      </c>
      <c r="J65" s="111" t="s">
        <v>6</v>
      </c>
      <c r="K65" s="111"/>
      <c r="L65" s="112"/>
    </row>
    <row r="66" spans="1:12" s="113" customFormat="1" ht="25.2" hidden="1" customHeight="1">
      <c r="A66" s="108">
        <f>SUBTOTAL(103,$B$2:B66)*1</f>
        <v>50</v>
      </c>
      <c r="B66" s="109" t="s">
        <v>76</v>
      </c>
      <c r="C66" s="177" t="s">
        <v>375</v>
      </c>
      <c r="D66" s="108"/>
      <c r="E66" s="110" t="s">
        <v>57</v>
      </c>
      <c r="F66" s="108"/>
      <c r="G66" s="102"/>
      <c r="H66" s="108" t="s">
        <v>34</v>
      </c>
      <c r="I66" s="104" t="str">
        <f t="shared" si="5"/>
        <v/>
      </c>
      <c r="J66" s="111" t="s">
        <v>6</v>
      </c>
      <c r="K66" s="111"/>
      <c r="L66" s="112"/>
    </row>
    <row r="67" spans="1:12" s="113" customFormat="1" ht="25.2" hidden="1" customHeight="1">
      <c r="A67" s="108">
        <f>SUBTOTAL(103,$B$2:B67)*1</f>
        <v>50</v>
      </c>
      <c r="B67" s="109" t="s">
        <v>76</v>
      </c>
      <c r="C67" s="191" t="s">
        <v>856</v>
      </c>
      <c r="D67" s="108"/>
      <c r="E67" s="110" t="s">
        <v>7</v>
      </c>
      <c r="F67" s="108"/>
      <c r="G67" s="102"/>
      <c r="H67" s="108" t="s">
        <v>34</v>
      </c>
      <c r="I67" s="104" t="str">
        <f t="shared" si="5"/>
        <v/>
      </c>
      <c r="J67" s="111" t="s">
        <v>6</v>
      </c>
      <c r="K67" s="111"/>
      <c r="L67" s="133" t="s">
        <v>857</v>
      </c>
    </row>
    <row r="68" spans="1:12" s="113" customFormat="1" ht="25.2" hidden="1" customHeight="1">
      <c r="A68" s="108">
        <f>SUBTOTAL(103,$B$2:B68)*1</f>
        <v>50</v>
      </c>
      <c r="B68" s="109" t="s">
        <v>76</v>
      </c>
      <c r="C68" s="191" t="s">
        <v>1464</v>
      </c>
      <c r="D68" s="108"/>
      <c r="E68" s="110">
        <v>0</v>
      </c>
      <c r="F68" s="108"/>
      <c r="G68" s="102"/>
      <c r="H68" s="134" t="s">
        <v>34</v>
      </c>
      <c r="I68" s="104" t="str">
        <f t="shared" si="5"/>
        <v/>
      </c>
      <c r="J68" s="111" t="s">
        <v>6</v>
      </c>
      <c r="K68" s="111"/>
      <c r="L68" s="133" t="s">
        <v>859</v>
      </c>
    </row>
    <row r="69" spans="1:12" s="113" customFormat="1" ht="25.2" customHeight="1">
      <c r="A69" s="108">
        <f>SUBTOTAL(103,$B$2:B69)*1</f>
        <v>51</v>
      </c>
      <c r="B69" s="109" t="s">
        <v>76</v>
      </c>
      <c r="C69" s="191" t="s">
        <v>80</v>
      </c>
      <c r="D69" s="108"/>
      <c r="E69" s="110" t="s">
        <v>57</v>
      </c>
      <c r="F69" s="108"/>
      <c r="G69" s="102" t="s">
        <v>1675</v>
      </c>
      <c r="H69" s="134" t="s">
        <v>34</v>
      </c>
      <c r="I69" s="104" t="str">
        <f t="shared" si="5"/>
        <v>Pass</v>
      </c>
      <c r="J69" s="111" t="s">
        <v>6</v>
      </c>
      <c r="K69" s="111"/>
      <c r="L69" s="133"/>
    </row>
    <row r="70" spans="1:12" s="113" customFormat="1" ht="25.2" customHeight="1">
      <c r="A70" s="108">
        <f>SUBTOTAL(103,$B$2:B70)*1</f>
        <v>52</v>
      </c>
      <c r="B70" s="109" t="s">
        <v>76</v>
      </c>
      <c r="C70" s="191" t="s">
        <v>955</v>
      </c>
      <c r="D70" s="108"/>
      <c r="E70" s="110" t="s">
        <v>1677</v>
      </c>
      <c r="F70" s="108"/>
      <c r="G70" s="103" t="s">
        <v>1676</v>
      </c>
      <c r="H70" s="108" t="s">
        <v>131</v>
      </c>
      <c r="I70" s="104" t="str">
        <f t="shared" si="5"/>
        <v>Pass</v>
      </c>
      <c r="J70" s="111" t="s">
        <v>6</v>
      </c>
      <c r="K70" s="111"/>
      <c r="L70" s="112" t="s">
        <v>1349</v>
      </c>
    </row>
    <row r="71" spans="1:12" s="113" customFormat="1" ht="25.2" customHeight="1">
      <c r="A71" s="108">
        <f>SUBTOTAL(103,$B$2:B71)*1</f>
        <v>53</v>
      </c>
      <c r="B71" s="109" t="s">
        <v>76</v>
      </c>
      <c r="C71" s="177" t="s">
        <v>204</v>
      </c>
      <c r="D71" s="108"/>
      <c r="E71" s="110" t="s">
        <v>7</v>
      </c>
      <c r="F71" s="108"/>
      <c r="G71" s="102" t="s">
        <v>1666</v>
      </c>
      <c r="H71" s="108" t="s">
        <v>34</v>
      </c>
      <c r="I71" s="104" t="str">
        <f t="shared" si="5"/>
        <v>Pass</v>
      </c>
      <c r="J71" s="111" t="s">
        <v>6</v>
      </c>
      <c r="K71" s="111"/>
      <c r="L71" s="112"/>
    </row>
    <row r="72" spans="1:12" s="113" customFormat="1" ht="25.2" customHeight="1">
      <c r="A72" s="108">
        <f>SUBTOTAL(103,$B$2:B72)*1</f>
        <v>54</v>
      </c>
      <c r="B72" s="109" t="s">
        <v>76</v>
      </c>
      <c r="C72" s="177" t="s">
        <v>79</v>
      </c>
      <c r="D72" s="108"/>
      <c r="E72" s="110" t="s">
        <v>7</v>
      </c>
      <c r="F72" s="108"/>
      <c r="G72" s="102" t="s">
        <v>1666</v>
      </c>
      <c r="H72" s="108" t="s">
        <v>34</v>
      </c>
      <c r="I72" s="104" t="str">
        <f t="shared" si="5"/>
        <v>Pass</v>
      </c>
      <c r="J72" s="111" t="s">
        <v>6</v>
      </c>
      <c r="K72" s="111"/>
      <c r="L72" s="112"/>
    </row>
    <row r="73" spans="1:12" s="113" customFormat="1" ht="25.2" customHeight="1">
      <c r="A73" s="108">
        <f>SUBTOTAL(103,$B$2:B73)*1</f>
        <v>55</v>
      </c>
      <c r="B73" s="109" t="s">
        <v>76</v>
      </c>
      <c r="C73" s="162" t="s">
        <v>371</v>
      </c>
      <c r="D73" s="108"/>
      <c r="E73" s="110" t="s">
        <v>7</v>
      </c>
      <c r="F73" s="108"/>
      <c r="G73" s="102" t="s">
        <v>7</v>
      </c>
      <c r="H73" s="108" t="s">
        <v>34</v>
      </c>
      <c r="I73" s="104" t="str">
        <f t="shared" si="5"/>
        <v>Pass</v>
      </c>
      <c r="J73" s="111" t="s">
        <v>6</v>
      </c>
      <c r="K73" s="111"/>
      <c r="L73" s="112" t="s">
        <v>296</v>
      </c>
    </row>
    <row r="74" spans="1:12" s="113" customFormat="1" ht="25.2" customHeight="1">
      <c r="A74" s="108">
        <f>SUBTOTAL(103,$B$2:B74)*1</f>
        <v>56</v>
      </c>
      <c r="B74" s="109" t="s">
        <v>76</v>
      </c>
      <c r="C74" s="162" t="s">
        <v>372</v>
      </c>
      <c r="D74" s="108"/>
      <c r="E74" s="110" t="s">
        <v>1666</v>
      </c>
      <c r="F74" s="108"/>
      <c r="G74" s="102" t="s">
        <v>7</v>
      </c>
      <c r="H74" s="108" t="s">
        <v>34</v>
      </c>
      <c r="I74" s="104" t="str">
        <f t="shared" si="5"/>
        <v>Pass</v>
      </c>
      <c r="J74" s="111" t="s">
        <v>6</v>
      </c>
      <c r="K74" s="111"/>
      <c r="L74" s="112" t="s">
        <v>297</v>
      </c>
    </row>
    <row r="75" spans="1:12" s="113" customFormat="1" ht="25.2" customHeight="1">
      <c r="A75" s="108">
        <f>SUBTOTAL(103,$B$2:B75)*1</f>
        <v>57</v>
      </c>
      <c r="B75" s="109" t="s">
        <v>76</v>
      </c>
      <c r="C75" s="162" t="s">
        <v>373</v>
      </c>
      <c r="D75" s="108"/>
      <c r="E75" s="110" t="s">
        <v>7</v>
      </c>
      <c r="F75" s="108"/>
      <c r="G75" s="102" t="s">
        <v>7</v>
      </c>
      <c r="H75" s="108" t="s">
        <v>34</v>
      </c>
      <c r="I75" s="104" t="str">
        <f t="shared" si="5"/>
        <v>Pass</v>
      </c>
      <c r="J75" s="111" t="s">
        <v>6</v>
      </c>
      <c r="K75" s="111"/>
      <c r="L75" s="112" t="s">
        <v>298</v>
      </c>
    </row>
    <row r="76" spans="1:12" s="113" customFormat="1" ht="25.2" customHeight="1">
      <c r="A76" s="108">
        <f>SUBTOTAL(103,$B$2:B76)*1</f>
        <v>58</v>
      </c>
      <c r="B76" s="109" t="s">
        <v>76</v>
      </c>
      <c r="C76" s="177" t="s">
        <v>376</v>
      </c>
      <c r="D76" s="108"/>
      <c r="E76" s="110" t="s">
        <v>1679</v>
      </c>
      <c r="F76" s="108"/>
      <c r="G76" s="135" t="s">
        <v>1678</v>
      </c>
      <c r="H76" s="108" t="s">
        <v>34</v>
      </c>
      <c r="I76" s="104" t="str">
        <f t="shared" si="5"/>
        <v>Pass</v>
      </c>
      <c r="J76" s="111" t="s">
        <v>6</v>
      </c>
      <c r="K76" s="111"/>
      <c r="L76" s="112"/>
    </row>
    <row r="77" spans="1:12" s="113" customFormat="1" ht="25.2" customHeight="1">
      <c r="A77" s="108">
        <f>SUBTOTAL(103,$B$2:B77)*1</f>
        <v>59</v>
      </c>
      <c r="B77" s="109" t="s">
        <v>76</v>
      </c>
      <c r="C77" s="177" t="s">
        <v>462</v>
      </c>
      <c r="D77" s="108"/>
      <c r="E77" s="110" t="s">
        <v>1681</v>
      </c>
      <c r="F77" s="108"/>
      <c r="G77" s="102" t="s">
        <v>1680</v>
      </c>
      <c r="H77" s="134" t="s">
        <v>34</v>
      </c>
      <c r="I77" s="104" t="str">
        <f t="shared" si="5"/>
        <v>Pass</v>
      </c>
      <c r="J77" s="111" t="s">
        <v>6</v>
      </c>
      <c r="K77" s="111"/>
      <c r="L77" s="133"/>
    </row>
    <row r="78" spans="1:12" s="113" customFormat="1" ht="25.2" customHeight="1">
      <c r="A78" s="108">
        <f>SUBTOTAL(103,$B$2:B78)*1</f>
        <v>60</v>
      </c>
      <c r="B78" s="109" t="s">
        <v>76</v>
      </c>
      <c r="C78" s="177" t="s">
        <v>888</v>
      </c>
      <c r="D78" s="108">
        <v>4.5999999999999996</v>
      </c>
      <c r="E78" s="110"/>
      <c r="F78" s="108"/>
      <c r="G78" s="102" t="s">
        <v>1682</v>
      </c>
      <c r="H78" s="108" t="s">
        <v>131</v>
      </c>
      <c r="I78" s="104" t="str">
        <f>IF(G78="","",IF(G78&gt;=D78,"Pass","Fail"))</f>
        <v>Pass</v>
      </c>
      <c r="J78" s="111" t="s">
        <v>6</v>
      </c>
      <c r="K78" s="111"/>
      <c r="L78" s="133" t="s">
        <v>889</v>
      </c>
    </row>
    <row r="79" spans="1:12" s="113" customFormat="1" ht="25.2" customHeight="1">
      <c r="A79" s="108">
        <f>SUBTOTAL(103,$B$2:B79)*1</f>
        <v>61</v>
      </c>
      <c r="B79" s="109" t="s">
        <v>76</v>
      </c>
      <c r="C79" s="177" t="s">
        <v>1537</v>
      </c>
      <c r="D79" s="108"/>
      <c r="E79" s="110" t="s">
        <v>7</v>
      </c>
      <c r="F79" s="108"/>
      <c r="G79" s="102" t="s">
        <v>7</v>
      </c>
      <c r="H79" s="108" t="s">
        <v>34</v>
      </c>
      <c r="I79" s="104" t="str">
        <f t="shared" ref="I79" si="6">IF(G79="","",IF(G79=E79,"Pass","Fail"))</f>
        <v>Pass</v>
      </c>
      <c r="J79" s="111" t="s">
        <v>6</v>
      </c>
      <c r="K79" s="111"/>
      <c r="L79" s="133" t="s">
        <v>1531</v>
      </c>
    </row>
    <row r="80" spans="1:12" s="113" customFormat="1" ht="25.2" customHeight="1">
      <c r="A80" s="108">
        <f>SUBTOTAL(103,$B$2:B80)*1</f>
        <v>62</v>
      </c>
      <c r="B80" s="109" t="s">
        <v>171</v>
      </c>
      <c r="C80" s="177" t="s">
        <v>205</v>
      </c>
      <c r="D80" s="108"/>
      <c r="E80" s="110" t="s">
        <v>1684</v>
      </c>
      <c r="F80" s="108"/>
      <c r="G80" s="135" t="s">
        <v>1683</v>
      </c>
      <c r="H80" s="108" t="s">
        <v>34</v>
      </c>
      <c r="I80" s="104" t="str">
        <f t="shared" si="5"/>
        <v>Pass</v>
      </c>
      <c r="J80" s="111" t="s">
        <v>6</v>
      </c>
      <c r="K80" s="111"/>
      <c r="L80" s="112"/>
    </row>
    <row r="81" spans="1:12" s="113" customFormat="1" ht="25.2" hidden="1" customHeight="1">
      <c r="A81" s="136">
        <f>SUBTOTAL(103,$B$2:B81)*1</f>
        <v>62</v>
      </c>
      <c r="B81" s="201" t="s">
        <v>1364</v>
      </c>
      <c r="C81" s="202" t="s">
        <v>1097</v>
      </c>
      <c r="D81" s="136"/>
      <c r="E81" s="204" t="s">
        <v>1422</v>
      </c>
      <c r="F81" s="136"/>
      <c r="G81" s="136"/>
      <c r="H81" s="136" t="s">
        <v>1405</v>
      </c>
      <c r="I81" s="104" t="str">
        <f t="shared" si="5"/>
        <v/>
      </c>
      <c r="J81" s="111" t="s">
        <v>6</v>
      </c>
      <c r="K81" s="137"/>
      <c r="L81" s="138"/>
    </row>
    <row r="82" spans="1:12" s="113" customFormat="1" ht="25.2" hidden="1" customHeight="1">
      <c r="A82" s="136">
        <f>SUBTOTAL(103,$B$2:B82)*1</f>
        <v>62</v>
      </c>
      <c r="B82" s="201" t="s">
        <v>1364</v>
      </c>
      <c r="C82" s="202" t="s">
        <v>1101</v>
      </c>
      <c r="D82" s="136"/>
      <c r="E82" s="204" t="s">
        <v>1406</v>
      </c>
      <c r="F82" s="136"/>
      <c r="G82" s="139"/>
      <c r="H82" s="140" t="s">
        <v>162</v>
      </c>
      <c r="I82" s="104" t="str">
        <f t="shared" si="5"/>
        <v/>
      </c>
      <c r="J82" s="111" t="s">
        <v>6</v>
      </c>
      <c r="K82" s="137"/>
      <c r="L82" s="138"/>
    </row>
    <row r="83" spans="1:12" s="113" customFormat="1" ht="37.200000000000003" hidden="1">
      <c r="A83" s="136">
        <f>SUBTOTAL(103,$B$2:B83)*1</f>
        <v>62</v>
      </c>
      <c r="B83" s="201" t="s">
        <v>1364</v>
      </c>
      <c r="C83" s="202" t="s">
        <v>1437</v>
      </c>
      <c r="D83" s="136"/>
      <c r="E83" s="139" t="s">
        <v>16</v>
      </c>
      <c r="F83" s="136"/>
      <c r="G83" s="136"/>
      <c r="H83" s="136" t="s">
        <v>162</v>
      </c>
      <c r="I83" s="104" t="str">
        <f t="shared" si="5"/>
        <v/>
      </c>
      <c r="J83" s="111" t="s">
        <v>6</v>
      </c>
      <c r="K83" s="137"/>
      <c r="L83" s="138"/>
    </row>
    <row r="84" spans="1:12" s="113" customFormat="1" ht="25.2" hidden="1" customHeight="1">
      <c r="A84" s="136">
        <f>SUBTOTAL(103,$B$2:B84)*1</f>
        <v>62</v>
      </c>
      <c r="B84" s="201" t="s">
        <v>1364</v>
      </c>
      <c r="C84" s="202" t="s">
        <v>1367</v>
      </c>
      <c r="D84" s="136"/>
      <c r="E84" s="139" t="s">
        <v>16</v>
      </c>
      <c r="F84" s="136"/>
      <c r="G84" s="136"/>
      <c r="H84" s="136" t="s">
        <v>162</v>
      </c>
      <c r="I84" s="104" t="str">
        <f t="shared" si="5"/>
        <v/>
      </c>
      <c r="J84" s="111" t="s">
        <v>6</v>
      </c>
      <c r="K84" s="137"/>
      <c r="L84" s="138"/>
    </row>
    <row r="85" spans="1:12" s="113" customFormat="1" ht="55.8" hidden="1">
      <c r="A85" s="136">
        <f>SUBTOTAL(103,$B$2:B85)*1</f>
        <v>62</v>
      </c>
      <c r="B85" s="201" t="s">
        <v>1364</v>
      </c>
      <c r="C85" s="202" t="s">
        <v>1438</v>
      </c>
      <c r="D85" s="136"/>
      <c r="E85" s="139" t="s">
        <v>16</v>
      </c>
      <c r="F85" s="136"/>
      <c r="G85" s="136"/>
      <c r="H85" s="136" t="s">
        <v>162</v>
      </c>
      <c r="I85" s="104" t="str">
        <f t="shared" si="5"/>
        <v/>
      </c>
      <c r="J85" s="111" t="s">
        <v>6</v>
      </c>
      <c r="K85" s="137"/>
      <c r="L85" s="138"/>
    </row>
    <row r="86" spans="1:12" s="113" customFormat="1" ht="25.2" hidden="1" customHeight="1">
      <c r="A86" s="136">
        <f>SUBTOTAL(103,$B$2:B86)*1</f>
        <v>62</v>
      </c>
      <c r="B86" s="201" t="s">
        <v>1364</v>
      </c>
      <c r="C86" s="202" t="s">
        <v>1137</v>
      </c>
      <c r="D86" s="136"/>
      <c r="E86" s="136" t="s">
        <v>1407</v>
      </c>
      <c r="F86" s="136"/>
      <c r="G86" s="139"/>
      <c r="H86" s="136" t="s">
        <v>162</v>
      </c>
      <c r="I86" s="104" t="str">
        <f t="shared" si="5"/>
        <v/>
      </c>
      <c r="J86" s="111" t="s">
        <v>6</v>
      </c>
      <c r="K86" s="137"/>
      <c r="L86" s="138"/>
    </row>
    <row r="87" spans="1:12" s="113" customFormat="1" ht="25.2" hidden="1" customHeight="1">
      <c r="A87" s="136">
        <f>SUBTOTAL(103,$B$2:B87)*1</f>
        <v>62</v>
      </c>
      <c r="B87" s="201" t="s">
        <v>1364</v>
      </c>
      <c r="C87" s="202" t="s">
        <v>1368</v>
      </c>
      <c r="D87" s="136"/>
      <c r="E87" s="136" t="s">
        <v>1407</v>
      </c>
      <c r="F87" s="136"/>
      <c r="G87" s="139"/>
      <c r="H87" s="136" t="s">
        <v>162</v>
      </c>
      <c r="I87" s="104" t="str">
        <f t="shared" si="5"/>
        <v/>
      </c>
      <c r="J87" s="111" t="s">
        <v>6</v>
      </c>
      <c r="K87" s="137"/>
      <c r="L87" s="138"/>
    </row>
    <row r="88" spans="1:12" s="113" customFormat="1" ht="25.2" hidden="1" customHeight="1">
      <c r="A88" s="136">
        <f>SUBTOTAL(103,$B$2:B88)*1</f>
        <v>62</v>
      </c>
      <c r="B88" s="201" t="s">
        <v>1364</v>
      </c>
      <c r="C88" s="202" t="s">
        <v>1501</v>
      </c>
      <c r="D88" s="136"/>
      <c r="E88" s="136" t="s">
        <v>1407</v>
      </c>
      <c r="F88" s="136"/>
      <c r="G88" s="139"/>
      <c r="H88" s="136" t="s">
        <v>162</v>
      </c>
      <c r="I88" s="104" t="str">
        <f t="shared" si="5"/>
        <v/>
      </c>
      <c r="J88" s="111" t="s">
        <v>6</v>
      </c>
      <c r="K88" s="137"/>
      <c r="L88" s="138"/>
    </row>
    <row r="89" spans="1:12" s="113" customFormat="1" ht="25.2" hidden="1" customHeight="1">
      <c r="A89" s="136">
        <f>SUBTOTAL(103,$B$2:B89)*1</f>
        <v>62</v>
      </c>
      <c r="B89" s="201" t="s">
        <v>1364</v>
      </c>
      <c r="C89" s="202" t="s">
        <v>1369</v>
      </c>
      <c r="D89" s="136"/>
      <c r="E89" s="136" t="s">
        <v>1407</v>
      </c>
      <c r="F89" s="136"/>
      <c r="G89" s="139"/>
      <c r="H89" s="136" t="s">
        <v>162</v>
      </c>
      <c r="I89" s="104" t="str">
        <f t="shared" si="5"/>
        <v/>
      </c>
      <c r="J89" s="111" t="s">
        <v>6</v>
      </c>
      <c r="K89" s="137"/>
      <c r="L89" s="138"/>
    </row>
    <row r="90" spans="1:12" s="113" customFormat="1" ht="25.2" hidden="1" customHeight="1">
      <c r="A90" s="136">
        <f>SUBTOTAL(103,$B$2:B90)*1</f>
        <v>62</v>
      </c>
      <c r="B90" s="201" t="s">
        <v>1371</v>
      </c>
      <c r="C90" s="202" t="s">
        <v>1098</v>
      </c>
      <c r="D90" s="136"/>
      <c r="E90" s="204"/>
      <c r="F90" s="136">
        <v>0.4</v>
      </c>
      <c r="G90" s="139"/>
      <c r="H90" s="136" t="s">
        <v>1107</v>
      </c>
      <c r="I90" s="104" t="str">
        <f>IF(G90="","",IF(G90&lt;=F90,"Pass","Fail"))</f>
        <v/>
      </c>
      <c r="J90" s="137" t="s">
        <v>161</v>
      </c>
      <c r="K90" s="121" t="s">
        <v>993</v>
      </c>
      <c r="L90" s="138"/>
    </row>
    <row r="91" spans="1:12" s="113" customFormat="1" ht="25.2" hidden="1" customHeight="1">
      <c r="A91" s="136">
        <f>SUBTOTAL(103,$B$2:B91)*1</f>
        <v>62</v>
      </c>
      <c r="B91" s="201" t="s">
        <v>1371</v>
      </c>
      <c r="C91" s="203" t="s">
        <v>1423</v>
      </c>
      <c r="D91" s="136">
        <v>0.9</v>
      </c>
      <c r="E91" s="204">
        <v>1</v>
      </c>
      <c r="F91" s="136">
        <v>1.1000000000000001</v>
      </c>
      <c r="G91" s="141"/>
      <c r="H91" s="136" t="s">
        <v>1108</v>
      </c>
      <c r="I91" s="104" t="str">
        <f t="shared" ref="I91:I93" si="7">IF(G91="","",IF(AND(G91&gt;=D91,G91&lt;=F91),"Pass","Fail"))</f>
        <v/>
      </c>
      <c r="J91" s="137" t="s">
        <v>161</v>
      </c>
      <c r="K91" s="121" t="s">
        <v>993</v>
      </c>
      <c r="L91" s="138"/>
    </row>
    <row r="92" spans="1:12" s="113" customFormat="1" ht="25.2" hidden="1" customHeight="1">
      <c r="A92" s="136">
        <f>SUBTOTAL(103,$B$2:B92)*1</f>
        <v>62</v>
      </c>
      <c r="B92" s="201" t="s">
        <v>1371</v>
      </c>
      <c r="C92" s="203" t="s">
        <v>1424</v>
      </c>
      <c r="D92" s="136">
        <v>9.9</v>
      </c>
      <c r="E92" s="204">
        <v>10</v>
      </c>
      <c r="F92" s="136">
        <v>10.1</v>
      </c>
      <c r="G92" s="139"/>
      <c r="H92" s="136" t="s">
        <v>1109</v>
      </c>
      <c r="I92" s="104" t="str">
        <f t="shared" si="7"/>
        <v/>
      </c>
      <c r="J92" s="137" t="s">
        <v>161</v>
      </c>
      <c r="K92" s="121" t="s">
        <v>993</v>
      </c>
      <c r="L92" s="138"/>
    </row>
    <row r="93" spans="1:12" s="113" customFormat="1" ht="25.2" hidden="1" customHeight="1">
      <c r="A93" s="136">
        <f>SUBTOTAL(103,$B$2:B93)*1</f>
        <v>62</v>
      </c>
      <c r="B93" s="201" t="s">
        <v>1371</v>
      </c>
      <c r="C93" s="202" t="s">
        <v>1375</v>
      </c>
      <c r="D93" s="136">
        <v>9</v>
      </c>
      <c r="E93" s="204">
        <v>10</v>
      </c>
      <c r="F93" s="136">
        <v>11</v>
      </c>
      <c r="G93" s="142"/>
      <c r="H93" s="136" t="s">
        <v>1110</v>
      </c>
      <c r="I93" s="104" t="str">
        <f t="shared" si="7"/>
        <v/>
      </c>
      <c r="J93" s="137" t="s">
        <v>161</v>
      </c>
      <c r="K93" s="121" t="s">
        <v>993</v>
      </c>
      <c r="L93" s="138"/>
    </row>
    <row r="94" spans="1:12" s="113" customFormat="1" ht="25.2" hidden="1" customHeight="1">
      <c r="A94" s="136">
        <f>SUBTOTAL(103,$B$2:B94)*1</f>
        <v>62</v>
      </c>
      <c r="B94" s="201" t="s">
        <v>1371</v>
      </c>
      <c r="C94" s="202" t="s">
        <v>1102</v>
      </c>
      <c r="D94" s="136"/>
      <c r="E94" s="204"/>
      <c r="F94" s="136">
        <v>0.5</v>
      </c>
      <c r="G94" s="139"/>
      <c r="H94" s="136" t="s">
        <v>1111</v>
      </c>
      <c r="I94" s="104" t="str">
        <f>IF(G94="","",IF(G94&lt;=F94,"Pass","Fail"))</f>
        <v/>
      </c>
      <c r="J94" s="137" t="s">
        <v>161</v>
      </c>
      <c r="K94" s="121" t="s">
        <v>993</v>
      </c>
      <c r="L94" s="138"/>
    </row>
    <row r="95" spans="1:12" s="113" customFormat="1" ht="25.2" hidden="1" customHeight="1">
      <c r="A95" s="136">
        <f>SUBTOTAL(103,$B$2:B95)*1</f>
        <v>62</v>
      </c>
      <c r="B95" s="201" t="s">
        <v>1371</v>
      </c>
      <c r="C95" s="202" t="s">
        <v>1376</v>
      </c>
      <c r="D95" s="136"/>
      <c r="E95" s="139" t="s">
        <v>16</v>
      </c>
      <c r="F95" s="136"/>
      <c r="G95" s="136"/>
      <c r="H95" s="136" t="s">
        <v>162</v>
      </c>
      <c r="I95" s="104" t="str">
        <f t="shared" si="5"/>
        <v/>
      </c>
      <c r="J95" s="137" t="s">
        <v>148</v>
      </c>
      <c r="K95" s="137"/>
      <c r="L95" s="138"/>
    </row>
    <row r="96" spans="1:12" s="113" customFormat="1" ht="25.2" hidden="1" customHeight="1">
      <c r="A96" s="136">
        <f>SUBTOTAL(103,$B$2:B96)*1</f>
        <v>62</v>
      </c>
      <c r="B96" s="201" t="s">
        <v>1408</v>
      </c>
      <c r="C96" s="202" t="s">
        <v>1378</v>
      </c>
      <c r="D96" s="205"/>
      <c r="E96" s="204" t="s">
        <v>16</v>
      </c>
      <c r="F96" s="206"/>
      <c r="G96" s="136"/>
      <c r="H96" s="136" t="s">
        <v>162</v>
      </c>
      <c r="I96" s="104" t="str">
        <f t="shared" si="5"/>
        <v/>
      </c>
      <c r="J96" s="137" t="s">
        <v>148</v>
      </c>
      <c r="K96" s="137"/>
      <c r="L96" s="138"/>
    </row>
    <row r="97" spans="1:12" s="113" customFormat="1" ht="37.200000000000003" hidden="1">
      <c r="A97" s="136">
        <f>SUBTOTAL(103,$B$2:B97)*1</f>
        <v>62</v>
      </c>
      <c r="B97" s="201" t="s">
        <v>1408</v>
      </c>
      <c r="C97" s="202" t="s">
        <v>1379</v>
      </c>
      <c r="D97" s="206"/>
      <c r="E97" s="204" t="s">
        <v>16</v>
      </c>
      <c r="F97" s="206"/>
      <c r="G97" s="136"/>
      <c r="H97" s="136" t="s">
        <v>162</v>
      </c>
      <c r="I97" s="104" t="str">
        <f t="shared" si="5"/>
        <v/>
      </c>
      <c r="J97" s="137" t="s">
        <v>148</v>
      </c>
      <c r="K97" s="137"/>
      <c r="L97" s="138"/>
    </row>
    <row r="98" spans="1:12" s="113" customFormat="1" ht="25.2" hidden="1" customHeight="1">
      <c r="A98" s="136">
        <f>SUBTOTAL(103,$B$2:B98)*1</f>
        <v>62</v>
      </c>
      <c r="B98" s="201" t="s">
        <v>1408</v>
      </c>
      <c r="C98" s="202" t="s">
        <v>1380</v>
      </c>
      <c r="D98" s="207">
        <v>89</v>
      </c>
      <c r="E98" s="145">
        <v>90</v>
      </c>
      <c r="F98" s="145">
        <v>91</v>
      </c>
      <c r="G98" s="143"/>
      <c r="H98" s="144" t="s">
        <v>1295</v>
      </c>
      <c r="I98" s="104" t="str">
        <f t="shared" ref="I98:I99" si="8">IF(G98="","",IF(AND(G98&gt;=D98,G98&lt;=F98),"Pass","Fail"))</f>
        <v/>
      </c>
      <c r="J98" s="137" t="s">
        <v>161</v>
      </c>
      <c r="K98" s="121" t="s">
        <v>993</v>
      </c>
      <c r="L98" s="138"/>
    </row>
    <row r="99" spans="1:12" s="113" customFormat="1" ht="25.2" hidden="1" customHeight="1">
      <c r="A99" s="136">
        <f>SUBTOTAL(103,$B$2:B99)*1</f>
        <v>62</v>
      </c>
      <c r="B99" s="201" t="s">
        <v>1408</v>
      </c>
      <c r="C99" s="202" t="s">
        <v>1381</v>
      </c>
      <c r="D99" s="207">
        <v>-91</v>
      </c>
      <c r="E99" s="145">
        <v>-90</v>
      </c>
      <c r="F99" s="145">
        <v>-89</v>
      </c>
      <c r="G99" s="143"/>
      <c r="H99" s="144" t="s">
        <v>1295</v>
      </c>
      <c r="I99" s="104" t="str">
        <f t="shared" si="8"/>
        <v/>
      </c>
      <c r="J99" s="137" t="s">
        <v>161</v>
      </c>
      <c r="K99" s="121" t="s">
        <v>993</v>
      </c>
      <c r="L99" s="138"/>
    </row>
    <row r="100" spans="1:12" s="113" customFormat="1" ht="25.2" hidden="1" customHeight="1">
      <c r="A100" s="136">
        <f>SUBTOTAL(103,$B$2:B100)*1</f>
        <v>62</v>
      </c>
      <c r="B100" s="201" t="s">
        <v>1408</v>
      </c>
      <c r="C100" s="202" t="s">
        <v>1382</v>
      </c>
      <c r="D100" s="206"/>
      <c r="E100" s="206" t="s">
        <v>1409</v>
      </c>
      <c r="F100" s="206"/>
      <c r="G100" s="143"/>
      <c r="H100" s="144" t="s">
        <v>162</v>
      </c>
      <c r="I100" s="104" t="str">
        <f t="shared" si="5"/>
        <v/>
      </c>
      <c r="J100" s="137" t="s">
        <v>148</v>
      </c>
      <c r="K100" s="137"/>
      <c r="L100" s="138"/>
    </row>
    <row r="101" spans="1:12" s="113" customFormat="1" ht="25.2" hidden="1" customHeight="1">
      <c r="A101" s="136">
        <f>SUBTOTAL(103,$B$2:B101)*1</f>
        <v>62</v>
      </c>
      <c r="B101" s="201" t="s">
        <v>1408</v>
      </c>
      <c r="C101" s="202" t="s">
        <v>1383</v>
      </c>
      <c r="D101" s="145"/>
      <c r="E101" s="206"/>
      <c r="F101" s="145"/>
      <c r="G101" s="143"/>
      <c r="H101" s="144" t="s">
        <v>1295</v>
      </c>
      <c r="I101" s="104" t="s">
        <v>1417</v>
      </c>
      <c r="J101" s="137" t="s">
        <v>161</v>
      </c>
      <c r="K101" s="121" t="s">
        <v>993</v>
      </c>
      <c r="L101" s="138"/>
    </row>
    <row r="102" spans="1:12" s="113" customFormat="1" ht="25.2" hidden="1" customHeight="1">
      <c r="A102" s="136">
        <f>SUBTOTAL(103,$B$2:B102)*1</f>
        <v>62</v>
      </c>
      <c r="B102" s="201" t="s">
        <v>1408</v>
      </c>
      <c r="C102" s="202" t="s">
        <v>1384</v>
      </c>
      <c r="D102" s="145"/>
      <c r="E102" s="206"/>
      <c r="F102" s="145"/>
      <c r="G102" s="143"/>
      <c r="H102" s="145" t="s">
        <v>1410</v>
      </c>
      <c r="I102" s="104" t="s">
        <v>1417</v>
      </c>
      <c r="J102" s="137" t="s">
        <v>161</v>
      </c>
      <c r="K102" s="121" t="s">
        <v>993</v>
      </c>
      <c r="L102" s="138"/>
    </row>
    <row r="103" spans="1:12" s="113" customFormat="1" ht="25.2" hidden="1" customHeight="1">
      <c r="A103" s="136">
        <f>SUBTOTAL(103,$B$2:B103)*1</f>
        <v>62</v>
      </c>
      <c r="B103" s="201" t="s">
        <v>1408</v>
      </c>
      <c r="C103" s="202" t="s">
        <v>1385</v>
      </c>
      <c r="D103" s="145"/>
      <c r="E103" s="206"/>
      <c r="F103" s="145"/>
      <c r="G103" s="143"/>
      <c r="H103" s="145" t="s">
        <v>199</v>
      </c>
      <c r="I103" s="104" t="s">
        <v>1417</v>
      </c>
      <c r="J103" s="137" t="s">
        <v>161</v>
      </c>
      <c r="K103" s="121" t="s">
        <v>993</v>
      </c>
      <c r="L103" s="138"/>
    </row>
    <row r="104" spans="1:12" s="113" customFormat="1" ht="25.2" hidden="1" customHeight="1">
      <c r="A104" s="136">
        <f>SUBTOTAL(103,$B$2:B104)*1</f>
        <v>62</v>
      </c>
      <c r="B104" s="201" t="s">
        <v>1408</v>
      </c>
      <c r="C104" s="202" t="s">
        <v>1386</v>
      </c>
      <c r="D104" s="145"/>
      <c r="E104" s="145" t="s">
        <v>1411</v>
      </c>
      <c r="F104" s="145"/>
      <c r="G104" s="143"/>
      <c r="H104" s="145" t="s">
        <v>162</v>
      </c>
      <c r="I104" s="104" t="str">
        <f t="shared" si="5"/>
        <v/>
      </c>
      <c r="J104" s="137" t="s">
        <v>148</v>
      </c>
      <c r="K104" s="137"/>
      <c r="L104" s="138"/>
    </row>
    <row r="105" spans="1:12" s="113" customFormat="1" ht="25.2" hidden="1" customHeight="1">
      <c r="A105" s="136">
        <f>SUBTOTAL(103,$B$2:B105)*1</f>
        <v>62</v>
      </c>
      <c r="B105" s="201" t="s">
        <v>1408</v>
      </c>
      <c r="C105" s="202" t="s">
        <v>1387</v>
      </c>
      <c r="D105" s="145"/>
      <c r="E105" s="145" t="s">
        <v>1412</v>
      </c>
      <c r="F105" s="145"/>
      <c r="G105" s="143"/>
      <c r="H105" s="145" t="s">
        <v>162</v>
      </c>
      <c r="I105" s="104" t="str">
        <f t="shared" si="5"/>
        <v/>
      </c>
      <c r="J105" s="137" t="s">
        <v>148</v>
      </c>
      <c r="K105" s="137"/>
      <c r="L105" s="138"/>
    </row>
    <row r="106" spans="1:12" s="113" customFormat="1" ht="25.2" hidden="1" customHeight="1">
      <c r="A106" s="136">
        <f>SUBTOTAL(103,$B$2:B106)*1</f>
        <v>62</v>
      </c>
      <c r="B106" s="201" t="s">
        <v>1408</v>
      </c>
      <c r="C106" s="202" t="s">
        <v>1388</v>
      </c>
      <c r="D106" s="145"/>
      <c r="E106" s="206"/>
      <c r="F106" s="145"/>
      <c r="G106" s="139"/>
      <c r="H106" s="145" t="s">
        <v>1413</v>
      </c>
      <c r="I106" s="104" t="s">
        <v>1417</v>
      </c>
      <c r="J106" s="137" t="s">
        <v>161</v>
      </c>
      <c r="K106" s="121" t="s">
        <v>993</v>
      </c>
      <c r="L106" s="138"/>
    </row>
    <row r="107" spans="1:12" s="113" customFormat="1" ht="25.2" hidden="1" customHeight="1">
      <c r="A107" s="136">
        <f>SUBTOTAL(103,$B$2:B107)*1</f>
        <v>62</v>
      </c>
      <c r="B107" s="201" t="s">
        <v>1408</v>
      </c>
      <c r="C107" s="202" t="s">
        <v>1389</v>
      </c>
      <c r="D107" s="145"/>
      <c r="E107" s="206"/>
      <c r="F107" s="145"/>
      <c r="G107" s="139"/>
      <c r="H107" s="145" t="s">
        <v>199</v>
      </c>
      <c r="I107" s="104" t="s">
        <v>1417</v>
      </c>
      <c r="J107" s="137" t="s">
        <v>161</v>
      </c>
      <c r="K107" s="121" t="s">
        <v>993</v>
      </c>
      <c r="L107" s="138"/>
    </row>
    <row r="108" spans="1:12" s="113" customFormat="1" ht="25.2" hidden="1" customHeight="1">
      <c r="A108" s="136">
        <f>SUBTOTAL(103,$B$2:B108)*1</f>
        <v>62</v>
      </c>
      <c r="B108" s="201" t="s">
        <v>1408</v>
      </c>
      <c r="C108" s="202" t="s">
        <v>1390</v>
      </c>
      <c r="D108" s="136"/>
      <c r="E108" s="139" t="s">
        <v>16</v>
      </c>
      <c r="F108" s="136"/>
      <c r="G108" s="136"/>
      <c r="H108" s="136" t="s">
        <v>162</v>
      </c>
      <c r="I108" s="104" t="str">
        <f t="shared" si="5"/>
        <v/>
      </c>
      <c r="J108" s="137" t="s">
        <v>148</v>
      </c>
      <c r="K108" s="137"/>
      <c r="L108" s="138"/>
    </row>
    <row r="109" spans="1:12" s="113" customFormat="1" ht="25.2" hidden="1" customHeight="1">
      <c r="A109" s="136">
        <f>SUBTOTAL(103,$B$2:B109)*1</f>
        <v>62</v>
      </c>
      <c r="B109" s="201" t="s">
        <v>1391</v>
      </c>
      <c r="C109" s="202" t="s">
        <v>1392</v>
      </c>
      <c r="D109" s="136"/>
      <c r="E109" s="139">
        <v>1</v>
      </c>
      <c r="F109" s="136"/>
      <c r="G109" s="136"/>
      <c r="H109" s="136" t="s">
        <v>162</v>
      </c>
      <c r="I109" s="104" t="str">
        <f t="shared" si="5"/>
        <v/>
      </c>
      <c r="J109" s="137" t="s">
        <v>148</v>
      </c>
      <c r="K109" s="137"/>
      <c r="L109" s="138"/>
    </row>
    <row r="110" spans="1:12" s="113" customFormat="1" ht="25.2" hidden="1" customHeight="1">
      <c r="A110" s="136">
        <f>SUBTOTAL(103,$B$2:B110)*1</f>
        <v>62</v>
      </c>
      <c r="B110" s="201" t="s">
        <v>1391</v>
      </c>
      <c r="C110" s="202" t="s">
        <v>1393</v>
      </c>
      <c r="D110" s="136"/>
      <c r="E110" s="139" t="s">
        <v>360</v>
      </c>
      <c r="F110" s="136"/>
      <c r="G110" s="136"/>
      <c r="H110" s="136" t="s">
        <v>162</v>
      </c>
      <c r="I110" s="104" t="str">
        <f t="shared" si="5"/>
        <v/>
      </c>
      <c r="J110" s="137" t="s">
        <v>148</v>
      </c>
      <c r="K110" s="137"/>
      <c r="L110" s="138"/>
    </row>
    <row r="111" spans="1:12" s="113" customFormat="1" ht="25.2" hidden="1" customHeight="1">
      <c r="A111" s="136">
        <f>SUBTOTAL(103,$B$2:B111)*1</f>
        <v>62</v>
      </c>
      <c r="B111" s="201" t="s">
        <v>1391</v>
      </c>
      <c r="C111" s="202" t="s">
        <v>1394</v>
      </c>
      <c r="D111" s="136"/>
      <c r="E111" s="139" t="s">
        <v>360</v>
      </c>
      <c r="F111" s="136"/>
      <c r="G111" s="136"/>
      <c r="H111" s="136" t="s">
        <v>162</v>
      </c>
      <c r="I111" s="104" t="str">
        <f t="shared" si="5"/>
        <v/>
      </c>
      <c r="J111" s="137" t="s">
        <v>148</v>
      </c>
      <c r="K111" s="137"/>
      <c r="L111" s="138"/>
    </row>
    <row r="112" spans="1:12" s="113" customFormat="1" ht="25.2" hidden="1" customHeight="1">
      <c r="A112" s="136">
        <f>SUBTOTAL(103,$B$2:B112)*1</f>
        <v>62</v>
      </c>
      <c r="B112" s="201" t="s">
        <v>1391</v>
      </c>
      <c r="C112" s="202" t="s">
        <v>1395</v>
      </c>
      <c r="D112" s="136"/>
      <c r="E112" s="139" t="s">
        <v>360</v>
      </c>
      <c r="F112" s="136"/>
      <c r="G112" s="136"/>
      <c r="H112" s="136" t="s">
        <v>162</v>
      </c>
      <c r="I112" s="104" t="str">
        <f t="shared" si="5"/>
        <v/>
      </c>
      <c r="J112" s="137" t="s">
        <v>148</v>
      </c>
      <c r="K112" s="137"/>
      <c r="L112" s="138"/>
    </row>
    <row r="113" spans="1:12" s="113" customFormat="1" ht="25.2" hidden="1" customHeight="1">
      <c r="A113" s="136">
        <f>SUBTOTAL(103,$B$2:B113)*1</f>
        <v>62</v>
      </c>
      <c r="B113" s="201" t="s">
        <v>1391</v>
      </c>
      <c r="C113" s="202" t="s">
        <v>1396</v>
      </c>
      <c r="D113" s="136"/>
      <c r="E113" s="139" t="s">
        <v>360</v>
      </c>
      <c r="F113" s="136"/>
      <c r="G113" s="136"/>
      <c r="H113" s="136" t="s">
        <v>162</v>
      </c>
      <c r="I113" s="104" t="str">
        <f t="shared" si="5"/>
        <v/>
      </c>
      <c r="J113" s="137" t="s">
        <v>148</v>
      </c>
      <c r="K113" s="137"/>
      <c r="L113" s="138"/>
    </row>
    <row r="114" spans="1:12" s="113" customFormat="1" ht="25.2" hidden="1" customHeight="1">
      <c r="A114" s="136">
        <f>SUBTOTAL(103,$B$2:B114)*1</f>
        <v>62</v>
      </c>
      <c r="B114" s="201" t="s">
        <v>1391</v>
      </c>
      <c r="C114" s="202" t="s">
        <v>1397</v>
      </c>
      <c r="D114" s="136"/>
      <c r="E114" s="139" t="s">
        <v>16</v>
      </c>
      <c r="F114" s="136"/>
      <c r="G114" s="139"/>
      <c r="H114" s="136" t="s">
        <v>162</v>
      </c>
      <c r="I114" s="104" t="str">
        <f t="shared" si="5"/>
        <v/>
      </c>
      <c r="J114" s="137" t="s">
        <v>148</v>
      </c>
      <c r="K114" s="137"/>
      <c r="L114" s="138"/>
    </row>
    <row r="115" spans="1:12" s="113" customFormat="1" ht="25.2" hidden="1" customHeight="1">
      <c r="A115" s="136">
        <f>SUBTOTAL(103,$B$2:B115)*1</f>
        <v>62</v>
      </c>
      <c r="B115" s="201" t="s">
        <v>1391</v>
      </c>
      <c r="C115" s="202" t="s">
        <v>1398</v>
      </c>
      <c r="D115" s="136"/>
      <c r="E115" s="139" t="s">
        <v>16</v>
      </c>
      <c r="F115" s="136"/>
      <c r="G115" s="136"/>
      <c r="H115" s="136" t="s">
        <v>162</v>
      </c>
      <c r="I115" s="104" t="str">
        <f t="shared" si="5"/>
        <v/>
      </c>
      <c r="J115" s="137" t="s">
        <v>148</v>
      </c>
      <c r="K115" s="137"/>
      <c r="L115" s="138"/>
    </row>
    <row r="116" spans="1:12" s="113" customFormat="1" ht="25.2" hidden="1" customHeight="1">
      <c r="A116" s="136">
        <f>SUBTOTAL(103,$B$2:B116)*1</f>
        <v>62</v>
      </c>
      <c r="B116" s="201" t="s">
        <v>1391</v>
      </c>
      <c r="C116" s="202" t="s">
        <v>1399</v>
      </c>
      <c r="D116" s="136"/>
      <c r="E116" s="139" t="s">
        <v>16</v>
      </c>
      <c r="F116" s="136"/>
      <c r="G116" s="136"/>
      <c r="H116" s="136" t="s">
        <v>162</v>
      </c>
      <c r="I116" s="104" t="str">
        <f t="shared" si="5"/>
        <v/>
      </c>
      <c r="J116" s="137" t="s">
        <v>148</v>
      </c>
      <c r="K116" s="137"/>
      <c r="L116" s="138"/>
    </row>
    <row r="117" spans="1:12" s="113" customFormat="1" ht="25.2" hidden="1" customHeight="1">
      <c r="A117" s="136">
        <f>SUBTOTAL(103,$B$2:B117)*1</f>
        <v>62</v>
      </c>
      <c r="B117" s="201" t="s">
        <v>1391</v>
      </c>
      <c r="C117" s="202" t="s">
        <v>1400</v>
      </c>
      <c r="D117" s="136"/>
      <c r="E117" s="139" t="s">
        <v>16</v>
      </c>
      <c r="F117" s="136"/>
      <c r="G117" s="136"/>
      <c r="H117" s="136" t="s">
        <v>162</v>
      </c>
      <c r="I117" s="104" t="str">
        <f t="shared" si="5"/>
        <v/>
      </c>
      <c r="J117" s="137" t="s">
        <v>148</v>
      </c>
      <c r="K117" s="137"/>
      <c r="L117" s="138"/>
    </row>
    <row r="118" spans="1:12" s="113" customFormat="1" ht="37.200000000000003">
      <c r="A118" s="132">
        <f>SUBTOTAL(103,$B$2:B118)*1</f>
        <v>63</v>
      </c>
      <c r="B118" s="127" t="s">
        <v>81</v>
      </c>
      <c r="C118" s="191" t="s">
        <v>1273</v>
      </c>
      <c r="D118" s="132"/>
      <c r="E118" s="110" t="s">
        <v>7</v>
      </c>
      <c r="F118" s="132"/>
      <c r="G118" s="103" t="s">
        <v>7</v>
      </c>
      <c r="H118" s="132" t="s">
        <v>34</v>
      </c>
      <c r="I118" s="149" t="s">
        <v>1754</v>
      </c>
      <c r="J118" s="111" t="s">
        <v>148</v>
      </c>
      <c r="K118" s="111"/>
      <c r="L118" s="112" t="s">
        <v>1274</v>
      </c>
    </row>
    <row r="119" spans="1:12" s="113" customFormat="1" ht="25.2" customHeight="1">
      <c r="A119" s="132">
        <f>SUBTOTAL(103,$B$2:B119)*1</f>
        <v>64</v>
      </c>
      <c r="B119" s="127" t="s">
        <v>81</v>
      </c>
      <c r="C119" s="191" t="s">
        <v>377</v>
      </c>
      <c r="D119" s="132"/>
      <c r="E119" s="110" t="s">
        <v>7</v>
      </c>
      <c r="F119" s="132"/>
      <c r="G119" s="182" t="s">
        <v>7</v>
      </c>
      <c r="H119" s="132" t="s">
        <v>34</v>
      </c>
      <c r="I119" s="149" t="str">
        <f t="shared" si="5"/>
        <v>Pass</v>
      </c>
      <c r="J119" s="111" t="s">
        <v>6</v>
      </c>
      <c r="K119" s="111"/>
      <c r="L119" s="112"/>
    </row>
    <row r="120" spans="1:12" s="113" customFormat="1" ht="25.2" customHeight="1">
      <c r="A120" s="132">
        <f>SUBTOTAL(103,$B$2:B120)*1</f>
        <v>65</v>
      </c>
      <c r="B120" s="127" t="s">
        <v>81</v>
      </c>
      <c r="C120" s="191" t="s">
        <v>378</v>
      </c>
      <c r="D120" s="132"/>
      <c r="E120" s="110" t="s">
        <v>7</v>
      </c>
      <c r="F120" s="132"/>
      <c r="G120" s="182" t="s">
        <v>7</v>
      </c>
      <c r="H120" s="132" t="s">
        <v>34</v>
      </c>
      <c r="I120" s="149" t="str">
        <f t="shared" si="5"/>
        <v>Pass</v>
      </c>
      <c r="J120" s="111" t="s">
        <v>6</v>
      </c>
      <c r="K120" s="111"/>
      <c r="L120" s="112"/>
    </row>
    <row r="121" spans="1:12" s="113" customFormat="1" ht="25.2" customHeight="1">
      <c r="A121" s="108">
        <f>SUBTOTAL(103,$B$2:B121)*1</f>
        <v>66</v>
      </c>
      <c r="B121" s="109" t="s">
        <v>81</v>
      </c>
      <c r="C121" s="177" t="s">
        <v>379</v>
      </c>
      <c r="D121" s="108"/>
      <c r="E121" s="212" t="s">
        <v>7</v>
      </c>
      <c r="F121" s="108"/>
      <c r="G121" s="102" t="s">
        <v>7</v>
      </c>
      <c r="H121" s="108" t="s">
        <v>34</v>
      </c>
      <c r="I121" s="104" t="str">
        <f t="shared" si="5"/>
        <v>Pass</v>
      </c>
      <c r="J121" s="111" t="s">
        <v>6</v>
      </c>
      <c r="K121" s="111"/>
      <c r="L121" s="112"/>
    </row>
    <row r="122" spans="1:12" s="146" customFormat="1" ht="25.2" customHeight="1">
      <c r="A122" s="108">
        <f>SUBTOTAL(103,$B$2:B122)*1</f>
        <v>67</v>
      </c>
      <c r="B122" s="109" t="s">
        <v>81</v>
      </c>
      <c r="C122" s="169" t="s">
        <v>620</v>
      </c>
      <c r="D122" s="108"/>
      <c r="E122" s="212" t="s">
        <v>7</v>
      </c>
      <c r="F122" s="108"/>
      <c r="G122" s="102" t="s">
        <v>7</v>
      </c>
      <c r="H122" s="108" t="s">
        <v>34</v>
      </c>
      <c r="I122" s="104" t="str">
        <f t="shared" si="5"/>
        <v>Pass</v>
      </c>
      <c r="J122" s="111" t="s">
        <v>6</v>
      </c>
      <c r="K122" s="111"/>
      <c r="L122" s="112" t="s">
        <v>498</v>
      </c>
    </row>
    <row r="123" spans="1:12" s="146" customFormat="1" ht="25.2" customHeight="1">
      <c r="A123" s="108">
        <f>SUBTOTAL(103,$B$2:B123)*1</f>
        <v>68</v>
      </c>
      <c r="B123" s="127" t="s">
        <v>81</v>
      </c>
      <c r="C123" s="162" t="s">
        <v>381</v>
      </c>
      <c r="D123" s="132"/>
      <c r="E123" s="110" t="s">
        <v>7</v>
      </c>
      <c r="F123" s="132"/>
      <c r="G123" s="182" t="s">
        <v>7</v>
      </c>
      <c r="H123" s="132" t="s">
        <v>34</v>
      </c>
      <c r="I123" s="149" t="str">
        <f t="shared" si="5"/>
        <v>Pass</v>
      </c>
      <c r="J123" s="147" t="s">
        <v>6</v>
      </c>
      <c r="K123" s="147"/>
      <c r="L123" s="115"/>
    </row>
    <row r="124" spans="1:12" s="146" customFormat="1" ht="25.2" customHeight="1">
      <c r="A124" s="108">
        <f>SUBTOTAL(103,$B$2:B124)*1</f>
        <v>69</v>
      </c>
      <c r="B124" s="109" t="s">
        <v>81</v>
      </c>
      <c r="C124" s="169" t="s">
        <v>380</v>
      </c>
      <c r="D124" s="108"/>
      <c r="E124" s="212" t="s">
        <v>7</v>
      </c>
      <c r="F124" s="108"/>
      <c r="G124" s="102" t="s">
        <v>7</v>
      </c>
      <c r="H124" s="108" t="s">
        <v>34</v>
      </c>
      <c r="I124" s="104" t="str">
        <f t="shared" si="5"/>
        <v>Pass</v>
      </c>
      <c r="J124" s="147" t="s">
        <v>6</v>
      </c>
      <c r="K124" s="147"/>
      <c r="L124" s="112"/>
    </row>
    <row r="125" spans="1:12" s="113" customFormat="1" ht="25.2" customHeight="1">
      <c r="A125" s="108">
        <f>SUBTOTAL(103,$B$2:B125)*1</f>
        <v>70</v>
      </c>
      <c r="B125" s="109" t="s">
        <v>81</v>
      </c>
      <c r="C125" s="169" t="s">
        <v>382</v>
      </c>
      <c r="D125" s="108"/>
      <c r="E125" s="212" t="s">
        <v>7</v>
      </c>
      <c r="F125" s="108"/>
      <c r="G125" s="102" t="s">
        <v>7</v>
      </c>
      <c r="H125" s="108" t="s">
        <v>34</v>
      </c>
      <c r="I125" s="104" t="str">
        <f t="shared" si="5"/>
        <v>Pass</v>
      </c>
      <c r="J125" s="147" t="s">
        <v>6</v>
      </c>
      <c r="K125" s="147"/>
      <c r="L125" s="115"/>
    </row>
    <row r="126" spans="1:12" s="113" customFormat="1" ht="25.2" customHeight="1">
      <c r="A126" s="132">
        <f>SUBTOTAL(103,$B$2:B126)*1</f>
        <v>71</v>
      </c>
      <c r="B126" s="127" t="s">
        <v>81</v>
      </c>
      <c r="C126" s="162" t="s">
        <v>89</v>
      </c>
      <c r="D126" s="132"/>
      <c r="E126" s="110">
        <v>5</v>
      </c>
      <c r="F126" s="132"/>
      <c r="G126" s="182">
        <v>5</v>
      </c>
      <c r="H126" s="221" t="s">
        <v>463</v>
      </c>
      <c r="I126" s="149" t="str">
        <f t="shared" si="5"/>
        <v>Pass</v>
      </c>
      <c r="J126" s="147" t="s">
        <v>6</v>
      </c>
      <c r="K126" s="147"/>
      <c r="L126" s="115"/>
    </row>
    <row r="127" spans="1:12" s="113" customFormat="1" ht="25.2" customHeight="1">
      <c r="A127" s="108">
        <f>SUBTOTAL(103,$B$2:B127)*1</f>
        <v>72</v>
      </c>
      <c r="B127" s="109" t="s">
        <v>81</v>
      </c>
      <c r="C127" s="177" t="s">
        <v>383</v>
      </c>
      <c r="D127" s="108"/>
      <c r="E127" s="212" t="s">
        <v>7</v>
      </c>
      <c r="F127" s="108"/>
      <c r="G127" s="102" t="s">
        <v>7</v>
      </c>
      <c r="H127" s="108" t="s">
        <v>34</v>
      </c>
      <c r="I127" s="104" t="str">
        <f t="shared" si="5"/>
        <v>Pass</v>
      </c>
      <c r="J127" s="111" t="s">
        <v>6</v>
      </c>
      <c r="K127" s="111"/>
      <c r="L127" s="112"/>
    </row>
    <row r="128" spans="1:12" s="113" customFormat="1" ht="25.2" customHeight="1">
      <c r="A128" s="132">
        <f>SUBTOTAL(103,$B$2:B128)*1</f>
        <v>73</v>
      </c>
      <c r="B128" s="127" t="s">
        <v>81</v>
      </c>
      <c r="C128" s="162" t="s">
        <v>386</v>
      </c>
      <c r="D128" s="219">
        <v>0.4</v>
      </c>
      <c r="E128" s="119"/>
      <c r="F128" s="221">
        <v>0.6</v>
      </c>
      <c r="G128" s="217">
        <v>0.53300000000000003</v>
      </c>
      <c r="H128" s="132" t="s">
        <v>128</v>
      </c>
      <c r="I128" s="104" t="str">
        <f>IF(G128="","",IF(AND(G128&gt;=D128,G128&lt;=F128),"Pass","Fail"))</f>
        <v>Pass</v>
      </c>
      <c r="J128" s="147" t="s">
        <v>6</v>
      </c>
      <c r="K128" s="147"/>
      <c r="L128" s="115"/>
    </row>
    <row r="129" spans="1:12" s="113" customFormat="1" ht="25.2" customHeight="1">
      <c r="A129" s="132">
        <f>SUBTOTAL(103,$B$2:B129)*1</f>
        <v>74</v>
      </c>
      <c r="B129" s="127" t="s">
        <v>81</v>
      </c>
      <c r="C129" s="162" t="s">
        <v>387</v>
      </c>
      <c r="D129" s="219">
        <v>-90</v>
      </c>
      <c r="E129" s="119"/>
      <c r="F129" s="221">
        <v>-60</v>
      </c>
      <c r="G129" s="215">
        <v>-75</v>
      </c>
      <c r="H129" s="221" t="s">
        <v>129</v>
      </c>
      <c r="I129" s="149" t="str">
        <f>IF(G129="","",IF(AND(G129&gt;=D129,G129&lt;=F129),"Pass","Fail"))</f>
        <v>Pass</v>
      </c>
      <c r="J129" s="150" t="s">
        <v>6</v>
      </c>
      <c r="K129" s="150"/>
      <c r="L129" s="151"/>
    </row>
    <row r="130" spans="1:12" s="113" customFormat="1" ht="25.2" customHeight="1">
      <c r="A130" s="132">
        <f>SUBTOTAL(103,$B$2:B130)*1</f>
        <v>75</v>
      </c>
      <c r="B130" s="127" t="s">
        <v>81</v>
      </c>
      <c r="C130" s="162" t="s">
        <v>88</v>
      </c>
      <c r="D130" s="132"/>
      <c r="E130" s="110"/>
      <c r="F130" s="132"/>
      <c r="G130" s="103" t="s">
        <v>1742</v>
      </c>
      <c r="H130" s="218" t="s">
        <v>131</v>
      </c>
      <c r="I130" s="149" t="s">
        <v>1665</v>
      </c>
      <c r="J130" s="147" t="s">
        <v>6</v>
      </c>
      <c r="K130" s="147"/>
      <c r="L130" s="152"/>
    </row>
    <row r="131" spans="1:12" s="113" customFormat="1" ht="25.2" customHeight="1">
      <c r="A131" s="108">
        <f>SUBTOTAL(103,$B$2:B131)*1</f>
        <v>76</v>
      </c>
      <c r="B131" s="127" t="s">
        <v>81</v>
      </c>
      <c r="C131" s="162" t="s">
        <v>388</v>
      </c>
      <c r="D131" s="132"/>
      <c r="E131" s="110" t="s">
        <v>7</v>
      </c>
      <c r="F131" s="132"/>
      <c r="G131" s="182" t="s">
        <v>7</v>
      </c>
      <c r="H131" s="132" t="s">
        <v>34</v>
      </c>
      <c r="I131" s="149" t="str">
        <f>IF(G131="","",IF(G131=E131,"Pass","Fail"))</f>
        <v>Pass</v>
      </c>
      <c r="J131" s="111" t="s">
        <v>13</v>
      </c>
      <c r="K131" s="111"/>
      <c r="L131" s="115" t="s">
        <v>499</v>
      </c>
    </row>
    <row r="132" spans="1:12" s="113" customFormat="1" ht="25.2" customHeight="1">
      <c r="A132" s="132">
        <f>SUBTOTAL(103,$B$2:B132)*1</f>
        <v>77</v>
      </c>
      <c r="B132" s="127" t="s">
        <v>81</v>
      </c>
      <c r="C132" s="162" t="s">
        <v>389</v>
      </c>
      <c r="D132" s="132"/>
      <c r="E132" s="110" t="s">
        <v>7</v>
      </c>
      <c r="F132" s="132"/>
      <c r="G132" s="182" t="s">
        <v>7</v>
      </c>
      <c r="H132" s="132" t="s">
        <v>34</v>
      </c>
      <c r="I132" s="149" t="str">
        <f>IF(G132="","",IF(G132=E132,"Pass","Fail"))</f>
        <v>Pass</v>
      </c>
      <c r="J132" s="111" t="s">
        <v>13</v>
      </c>
      <c r="K132" s="111"/>
      <c r="L132" s="112" t="s">
        <v>499</v>
      </c>
    </row>
    <row r="133" spans="1:12" s="113" customFormat="1" ht="25.2" customHeight="1">
      <c r="A133" s="108">
        <f>SUBTOTAL(103,$B$2:B133)*1</f>
        <v>78</v>
      </c>
      <c r="B133" s="109" t="s">
        <v>81</v>
      </c>
      <c r="C133" s="177" t="s">
        <v>788</v>
      </c>
      <c r="D133" s="108"/>
      <c r="E133" s="212"/>
      <c r="F133" s="108">
        <v>100</v>
      </c>
      <c r="G133" s="130">
        <v>18.45</v>
      </c>
      <c r="H133" s="108" t="s">
        <v>127</v>
      </c>
      <c r="I133" s="104" t="str">
        <f>IF(G133="","",IF(AND(G133&gt;=D133,G133&lt;=F133),"Pass","Fail"))</f>
        <v>Pass</v>
      </c>
      <c r="J133" s="111" t="s">
        <v>13</v>
      </c>
      <c r="K133" s="121" t="s">
        <v>993</v>
      </c>
      <c r="L133" s="112" t="s">
        <v>786</v>
      </c>
    </row>
    <row r="134" spans="1:12" s="113" customFormat="1" ht="25.2" customHeight="1">
      <c r="A134" s="108">
        <f>SUBTOTAL(103,$B$2:B134)*1</f>
        <v>79</v>
      </c>
      <c r="B134" s="109" t="s">
        <v>81</v>
      </c>
      <c r="C134" s="177" t="s">
        <v>791</v>
      </c>
      <c r="D134" s="108"/>
      <c r="E134" s="212"/>
      <c r="F134" s="108">
        <v>100</v>
      </c>
      <c r="G134" s="130">
        <v>31.32</v>
      </c>
      <c r="H134" s="108" t="s">
        <v>127</v>
      </c>
      <c r="I134" s="104" t="str">
        <f>IF(G134="","",IF(AND(G134&gt;=D134,G134&lt;=F134),"Pass","Fail"))</f>
        <v>Pass</v>
      </c>
      <c r="J134" s="111" t="s">
        <v>13</v>
      </c>
      <c r="K134" s="121" t="s">
        <v>993</v>
      </c>
      <c r="L134" s="112" t="s">
        <v>786</v>
      </c>
    </row>
    <row r="135" spans="1:12" s="113" customFormat="1" ht="25.2" customHeight="1">
      <c r="A135" s="108">
        <f>SUBTOTAL(103,$B$2:B135)*1</f>
        <v>80</v>
      </c>
      <c r="B135" s="109" t="s">
        <v>81</v>
      </c>
      <c r="C135" s="177" t="s">
        <v>790</v>
      </c>
      <c r="D135" s="108"/>
      <c r="E135" s="212"/>
      <c r="F135" s="108">
        <v>100</v>
      </c>
      <c r="G135" s="130">
        <v>29.55</v>
      </c>
      <c r="H135" s="108" t="s">
        <v>127</v>
      </c>
      <c r="I135" s="149" t="str">
        <f>IF(G135="","",IF(AND(G135&gt;=D135,G135&lt;=F135),"Pass","Fail"))</f>
        <v>Pass</v>
      </c>
      <c r="J135" s="111" t="s">
        <v>13</v>
      </c>
      <c r="K135" s="121" t="s">
        <v>993</v>
      </c>
      <c r="L135" s="112" t="s">
        <v>793</v>
      </c>
    </row>
    <row r="136" spans="1:12" s="113" customFormat="1" ht="25.2" customHeight="1">
      <c r="A136" s="108">
        <f>SUBTOTAL(103,$B$2:B136)*1</f>
        <v>81</v>
      </c>
      <c r="B136" s="109" t="s">
        <v>81</v>
      </c>
      <c r="C136" s="177" t="s">
        <v>792</v>
      </c>
      <c r="D136" s="108"/>
      <c r="E136" s="212"/>
      <c r="F136" s="108">
        <v>100</v>
      </c>
      <c r="G136" s="130">
        <v>43.52</v>
      </c>
      <c r="H136" s="108" t="s">
        <v>127</v>
      </c>
      <c r="I136" s="149" t="str">
        <f>IF(G136="","",IF(AND(G136&gt;=D136,G136&lt;=F136),"Pass","Fail"))</f>
        <v>Pass</v>
      </c>
      <c r="J136" s="111" t="s">
        <v>13</v>
      </c>
      <c r="K136" s="121" t="s">
        <v>993</v>
      </c>
      <c r="L136" s="112" t="s">
        <v>793</v>
      </c>
    </row>
    <row r="137" spans="1:12" s="113" customFormat="1" ht="25.2" customHeight="1">
      <c r="A137" s="108">
        <f>SUBTOTAL(103,$B$2:B137)*1</f>
        <v>82</v>
      </c>
      <c r="B137" s="127" t="s">
        <v>81</v>
      </c>
      <c r="C137" s="162" t="s">
        <v>93</v>
      </c>
      <c r="D137" s="132"/>
      <c r="E137" s="110" t="s">
        <v>910</v>
      </c>
      <c r="F137" s="132"/>
      <c r="G137" s="182" t="s">
        <v>1755</v>
      </c>
      <c r="H137" s="132" t="s">
        <v>34</v>
      </c>
      <c r="I137" s="149" t="str">
        <f>IF(G137="","",IF(G137=E137,"Pass","Fail"))</f>
        <v>Pass</v>
      </c>
      <c r="J137" s="111" t="s">
        <v>13</v>
      </c>
      <c r="K137" s="111"/>
      <c r="L137" s="112"/>
    </row>
    <row r="138" spans="1:12" s="113" customFormat="1" ht="37.200000000000003">
      <c r="A138" s="132">
        <f>SUBTOTAL(103,$B$2:B138)*1</f>
        <v>83</v>
      </c>
      <c r="B138" s="127" t="s">
        <v>81</v>
      </c>
      <c r="C138" s="162" t="s">
        <v>327</v>
      </c>
      <c r="D138" s="132"/>
      <c r="E138" s="110" t="s">
        <v>7</v>
      </c>
      <c r="F138" s="132"/>
      <c r="G138" s="182" t="s">
        <v>7</v>
      </c>
      <c r="H138" s="132" t="s">
        <v>34</v>
      </c>
      <c r="I138" s="149" t="str">
        <f>IF(G138="","",IF(G138=E138,"Pass","Fail"))</f>
        <v>Pass</v>
      </c>
      <c r="J138" s="111" t="s">
        <v>148</v>
      </c>
      <c r="K138" s="111"/>
      <c r="L138" s="112" t="s">
        <v>328</v>
      </c>
    </row>
    <row r="139" spans="1:12" s="113" customFormat="1" ht="25.2" customHeight="1">
      <c r="A139" s="108">
        <f>SUBTOTAL(103,$B$2:B139)*1</f>
        <v>84</v>
      </c>
      <c r="B139" s="127" t="s">
        <v>81</v>
      </c>
      <c r="C139" s="162" t="s">
        <v>586</v>
      </c>
      <c r="D139" s="220"/>
      <c r="E139" s="220" t="s">
        <v>583</v>
      </c>
      <c r="F139" s="220"/>
      <c r="G139" s="182">
        <v>359.9</v>
      </c>
      <c r="H139" s="132" t="s">
        <v>198</v>
      </c>
      <c r="I139" s="149" t="s">
        <v>1665</v>
      </c>
      <c r="J139" s="111" t="s">
        <v>13</v>
      </c>
      <c r="K139" s="111"/>
      <c r="L139" s="112" t="s">
        <v>588</v>
      </c>
    </row>
    <row r="140" spans="1:12" s="113" customFormat="1" ht="25.2" hidden="1" customHeight="1">
      <c r="A140" s="108">
        <f>SUBTOTAL(103,$B$2:B140)*1</f>
        <v>84</v>
      </c>
      <c r="B140" s="127" t="s">
        <v>617</v>
      </c>
      <c r="C140" s="162" t="s">
        <v>90</v>
      </c>
      <c r="D140" s="153"/>
      <c r="E140" s="153"/>
      <c r="F140" s="132">
        <v>0.05</v>
      </c>
      <c r="G140" s="102"/>
      <c r="H140" s="132" t="s">
        <v>198</v>
      </c>
      <c r="I140" s="149" t="str">
        <f>IF(G140="","",IF(AND(G140&gt;=D140,G140&lt;=F140),"Pass","Fail"))</f>
        <v/>
      </c>
      <c r="J140" s="154" t="s">
        <v>13</v>
      </c>
      <c r="K140" s="154"/>
      <c r="L140" s="112"/>
    </row>
    <row r="141" spans="1:12" s="113" customFormat="1" ht="25.2" hidden="1" customHeight="1">
      <c r="A141" s="108">
        <f>SUBTOTAL(103,$B$2:B141)*1</f>
        <v>84</v>
      </c>
      <c r="B141" s="127" t="s">
        <v>702</v>
      </c>
      <c r="C141" s="162" t="s">
        <v>90</v>
      </c>
      <c r="D141" s="153"/>
      <c r="E141" s="153"/>
      <c r="F141" s="153">
        <v>0.04</v>
      </c>
      <c r="G141" s="102"/>
      <c r="H141" s="132" t="s">
        <v>198</v>
      </c>
      <c r="I141" s="149" t="str">
        <f>IF(G141="","",IF(AND(G141&gt;=D141,G141&lt;=F141),"Pass","Fail"))</f>
        <v/>
      </c>
      <c r="J141" s="154" t="s">
        <v>13</v>
      </c>
      <c r="K141" s="154"/>
      <c r="L141" s="112"/>
    </row>
    <row r="142" spans="1:12" s="113" customFormat="1" ht="25.2" customHeight="1">
      <c r="A142" s="132">
        <f>SUBTOTAL(103,$B$2:B142)*1</f>
        <v>85</v>
      </c>
      <c r="B142" s="127" t="s">
        <v>619</v>
      </c>
      <c r="C142" s="162" t="s">
        <v>90</v>
      </c>
      <c r="D142" s="132"/>
      <c r="E142" s="110"/>
      <c r="F142" s="132">
        <v>0.03</v>
      </c>
      <c r="G142" s="182">
        <v>4.0000000000000001E-3</v>
      </c>
      <c r="H142" s="132" t="s">
        <v>198</v>
      </c>
      <c r="I142" s="149" t="str">
        <f>IF(G142="","",IF(AND(G142&gt;=D142,G142&lt;=F142),"Pass","Fail"))</f>
        <v>Pass</v>
      </c>
      <c r="J142" s="154" t="s">
        <v>13</v>
      </c>
      <c r="K142" s="154"/>
      <c r="L142" s="155"/>
    </row>
    <row r="143" spans="1:12" s="113" customFormat="1" ht="25.2" customHeight="1">
      <c r="A143" s="132">
        <f>SUBTOTAL(103,$B$2:B143)*1</f>
        <v>86</v>
      </c>
      <c r="B143" s="127" t="s">
        <v>81</v>
      </c>
      <c r="C143" s="162" t="s">
        <v>91</v>
      </c>
      <c r="D143" s="219">
        <v>0.3</v>
      </c>
      <c r="E143" s="110"/>
      <c r="F143" s="132"/>
      <c r="G143" s="182">
        <v>0.37</v>
      </c>
      <c r="H143" s="132" t="s">
        <v>602</v>
      </c>
      <c r="I143" s="149" t="str">
        <f>IF(G143="","",IF(G143&gt;=D143,"Pass","Fail"))</f>
        <v>Pass</v>
      </c>
      <c r="J143" s="111" t="s">
        <v>13</v>
      </c>
      <c r="K143" s="111"/>
      <c r="L143" s="112" t="s">
        <v>501</v>
      </c>
    </row>
    <row r="144" spans="1:12" s="113" customFormat="1" ht="25.2" customHeight="1">
      <c r="A144" s="132">
        <f>SUBTOTAL(103,$B$2:B144)*1</f>
        <v>87</v>
      </c>
      <c r="B144" s="127" t="s">
        <v>81</v>
      </c>
      <c r="C144" s="162" t="s">
        <v>391</v>
      </c>
      <c r="D144" s="132"/>
      <c r="E144" s="110" t="s">
        <v>16</v>
      </c>
      <c r="F144" s="132"/>
      <c r="G144" s="182" t="s">
        <v>7</v>
      </c>
      <c r="H144" s="132" t="s">
        <v>162</v>
      </c>
      <c r="I144" s="149" t="str">
        <f>IF(G144="","",IF(G144=E144,"Pass","Fail"))</f>
        <v>Pass</v>
      </c>
      <c r="J144" s="111" t="s">
        <v>148</v>
      </c>
      <c r="K144" s="111"/>
      <c r="L144" s="112" t="s">
        <v>502</v>
      </c>
    </row>
    <row r="145" spans="1:12" s="113" customFormat="1" ht="25.2" customHeight="1">
      <c r="A145" s="132">
        <f>SUBTOTAL(103,$B$2:B145)*1</f>
        <v>88</v>
      </c>
      <c r="B145" s="127" t="s">
        <v>81</v>
      </c>
      <c r="C145" s="162" t="s">
        <v>83</v>
      </c>
      <c r="D145" s="220"/>
      <c r="E145" s="110"/>
      <c r="F145" s="220"/>
      <c r="G145" s="217">
        <v>0.186</v>
      </c>
      <c r="H145" s="132" t="s">
        <v>198</v>
      </c>
      <c r="I145" s="149" t="s">
        <v>1665</v>
      </c>
      <c r="J145" s="111" t="s">
        <v>6</v>
      </c>
      <c r="K145" s="111"/>
      <c r="L145" s="112" t="s">
        <v>309</v>
      </c>
    </row>
    <row r="146" spans="1:12" s="113" customFormat="1" ht="25.2" customHeight="1">
      <c r="A146" s="132">
        <f>SUBTOTAL(103,$B$2:B146)*1</f>
        <v>89</v>
      </c>
      <c r="B146" s="127" t="s">
        <v>81</v>
      </c>
      <c r="C146" s="162" t="s">
        <v>85</v>
      </c>
      <c r="D146" s="220"/>
      <c r="E146" s="110"/>
      <c r="F146" s="220"/>
      <c r="G146" s="222">
        <v>-0.28899999999999998</v>
      </c>
      <c r="H146" s="132" t="s">
        <v>198</v>
      </c>
      <c r="I146" s="149" t="s">
        <v>1665</v>
      </c>
      <c r="J146" s="150" t="s">
        <v>6</v>
      </c>
      <c r="K146" s="150"/>
      <c r="L146" s="155" t="s">
        <v>309</v>
      </c>
    </row>
    <row r="147" spans="1:12" s="156" customFormat="1" ht="25.2" customHeight="1">
      <c r="A147" s="108">
        <f>SUBTOTAL(103,$B$2:B147)*1</f>
        <v>90</v>
      </c>
      <c r="B147" s="127" t="s">
        <v>81</v>
      </c>
      <c r="C147" s="162" t="s">
        <v>632</v>
      </c>
      <c r="D147" s="220">
        <v>-0.1</v>
      </c>
      <c r="E147" s="110"/>
      <c r="F147" s="220">
        <v>0.1</v>
      </c>
      <c r="G147" s="182">
        <v>-0.01</v>
      </c>
      <c r="H147" s="132" t="s">
        <v>198</v>
      </c>
      <c r="I147" s="149" t="str">
        <f t="shared" ref="I147:I152" si="9">IF(G147="","",IF(AND(G147&gt;=D147,G147&lt;=F147),"Pass","Fail"))</f>
        <v>Pass</v>
      </c>
      <c r="J147" s="150" t="s">
        <v>6</v>
      </c>
      <c r="K147" s="150"/>
      <c r="L147" s="155" t="s">
        <v>310</v>
      </c>
    </row>
    <row r="148" spans="1:12" s="156" customFormat="1" ht="25.2" customHeight="1">
      <c r="A148" s="108">
        <f>SUBTOTAL(103,$B$2:B148)*1</f>
        <v>91</v>
      </c>
      <c r="B148" s="127" t="s">
        <v>81</v>
      </c>
      <c r="C148" s="162" t="s">
        <v>634</v>
      </c>
      <c r="D148" s="220">
        <v>-0.1</v>
      </c>
      <c r="E148" s="110"/>
      <c r="F148" s="220">
        <v>0.1</v>
      </c>
      <c r="G148" s="217">
        <v>0</v>
      </c>
      <c r="H148" s="132" t="s">
        <v>198</v>
      </c>
      <c r="I148" s="149" t="str">
        <f t="shared" si="9"/>
        <v>Pass</v>
      </c>
      <c r="J148" s="150" t="s">
        <v>6</v>
      </c>
      <c r="K148" s="150"/>
      <c r="L148" s="155" t="s">
        <v>310</v>
      </c>
    </row>
    <row r="149" spans="1:12" s="113" customFormat="1" ht="25.2" customHeight="1">
      <c r="A149" s="108">
        <f>SUBTOTAL(103,$B$2:B149)*1</f>
        <v>92</v>
      </c>
      <c r="B149" s="127" t="s">
        <v>81</v>
      </c>
      <c r="C149" s="162" t="s">
        <v>636</v>
      </c>
      <c r="D149" s="220">
        <v>-0.1</v>
      </c>
      <c r="E149" s="110"/>
      <c r="F149" s="220">
        <v>0.1</v>
      </c>
      <c r="G149" s="226">
        <v>0.04</v>
      </c>
      <c r="H149" s="132" t="s">
        <v>198</v>
      </c>
      <c r="I149" s="149" t="str">
        <f t="shared" si="9"/>
        <v>Pass</v>
      </c>
      <c r="J149" s="150" t="s">
        <v>6</v>
      </c>
      <c r="K149" s="150"/>
      <c r="L149" s="155" t="s">
        <v>310</v>
      </c>
    </row>
    <row r="150" spans="1:12" s="113" customFormat="1" ht="25.2" customHeight="1">
      <c r="A150" s="108">
        <f>SUBTOTAL(103,$B$2:B150)*1</f>
        <v>93</v>
      </c>
      <c r="B150" s="127" t="s">
        <v>81</v>
      </c>
      <c r="C150" s="162" t="s">
        <v>638</v>
      </c>
      <c r="D150" s="220">
        <v>-0.1</v>
      </c>
      <c r="E150" s="110"/>
      <c r="F150" s="220">
        <v>0.1</v>
      </c>
      <c r="G150" s="226">
        <v>0.08</v>
      </c>
      <c r="H150" s="132" t="s">
        <v>198</v>
      </c>
      <c r="I150" s="149" t="str">
        <f t="shared" si="9"/>
        <v>Pass</v>
      </c>
      <c r="J150" s="150" t="s">
        <v>6</v>
      </c>
      <c r="K150" s="150"/>
      <c r="L150" s="155" t="s">
        <v>310</v>
      </c>
    </row>
    <row r="151" spans="1:12" s="113" customFormat="1" ht="25.2" customHeight="1">
      <c r="A151" s="108">
        <f>SUBTOTAL(103,$B$2:B151)*1</f>
        <v>94</v>
      </c>
      <c r="B151" s="127" t="s">
        <v>81</v>
      </c>
      <c r="C151" s="162" t="s">
        <v>640</v>
      </c>
      <c r="D151" s="220">
        <v>-0.1</v>
      </c>
      <c r="E151" s="110"/>
      <c r="F151" s="220">
        <v>0.1</v>
      </c>
      <c r="G151" s="182">
        <v>7.0000000000000007E-2</v>
      </c>
      <c r="H151" s="132" t="s">
        <v>198</v>
      </c>
      <c r="I151" s="149" t="str">
        <f t="shared" si="9"/>
        <v>Pass</v>
      </c>
      <c r="J151" s="150" t="s">
        <v>6</v>
      </c>
      <c r="K151" s="150"/>
      <c r="L151" s="155" t="s">
        <v>310</v>
      </c>
    </row>
    <row r="152" spans="1:12" s="113" customFormat="1" ht="25.2" customHeight="1">
      <c r="A152" s="108">
        <f>SUBTOTAL(103,$B$2:B152)*1</f>
        <v>95</v>
      </c>
      <c r="B152" s="127" t="s">
        <v>81</v>
      </c>
      <c r="C152" s="162" t="s">
        <v>642</v>
      </c>
      <c r="D152" s="220">
        <v>-0.1</v>
      </c>
      <c r="E152" s="110"/>
      <c r="F152" s="220">
        <v>0.1</v>
      </c>
      <c r="G152" s="182">
        <v>0.03</v>
      </c>
      <c r="H152" s="132" t="s">
        <v>198</v>
      </c>
      <c r="I152" s="149" t="str">
        <f t="shared" si="9"/>
        <v>Pass</v>
      </c>
      <c r="J152" s="150" t="s">
        <v>6</v>
      </c>
      <c r="K152" s="150"/>
      <c r="L152" s="155" t="s">
        <v>310</v>
      </c>
    </row>
    <row r="153" spans="1:12" s="113" customFormat="1" ht="25.2" customHeight="1">
      <c r="A153" s="132">
        <f>SUBTOTAL(103,$B$2:B153)*1</f>
        <v>96</v>
      </c>
      <c r="B153" s="127" t="s">
        <v>81</v>
      </c>
      <c r="C153" s="162" t="s">
        <v>384</v>
      </c>
      <c r="D153" s="132"/>
      <c r="E153" s="110">
        <v>5</v>
      </c>
      <c r="F153" s="132"/>
      <c r="G153" s="182">
        <v>5</v>
      </c>
      <c r="H153" s="132" t="s">
        <v>34</v>
      </c>
      <c r="I153" s="149" t="str">
        <f>IF(G153="","",IF(G153=E153,"Pass","Fail"))</f>
        <v>Pass</v>
      </c>
      <c r="J153" s="111" t="s">
        <v>6</v>
      </c>
      <c r="K153" s="111"/>
      <c r="L153" s="112"/>
    </row>
    <row r="154" spans="1:12" s="113" customFormat="1" ht="25.2" customHeight="1">
      <c r="A154" s="132">
        <f>SUBTOTAL(103,$B$2:B154)*1</f>
        <v>97</v>
      </c>
      <c r="B154" s="127" t="s">
        <v>81</v>
      </c>
      <c r="C154" s="162" t="s">
        <v>1539</v>
      </c>
      <c r="D154" s="132" t="s">
        <v>1757</v>
      </c>
      <c r="E154" s="110"/>
      <c r="F154" s="132" t="s">
        <v>1758</v>
      </c>
      <c r="G154" s="182" t="s">
        <v>1759</v>
      </c>
      <c r="H154" s="132" t="s">
        <v>1538</v>
      </c>
      <c r="I154" s="149" t="s">
        <v>1665</v>
      </c>
      <c r="J154" s="111" t="s">
        <v>6</v>
      </c>
      <c r="K154" s="111"/>
      <c r="L154" s="112" t="s">
        <v>1541</v>
      </c>
    </row>
    <row r="155" spans="1:12" s="113" customFormat="1" ht="25.2" customHeight="1">
      <c r="A155" s="132">
        <f>SUBTOTAL(103,$B$2:B155)*1</f>
        <v>98</v>
      </c>
      <c r="B155" s="127" t="s">
        <v>81</v>
      </c>
      <c r="C155" s="162" t="s">
        <v>1540</v>
      </c>
      <c r="D155" s="132" t="s">
        <v>1757</v>
      </c>
      <c r="E155" s="110"/>
      <c r="F155" s="132" t="s">
        <v>1758</v>
      </c>
      <c r="G155" s="182" t="s">
        <v>1760</v>
      </c>
      <c r="H155" s="132" t="s">
        <v>1538</v>
      </c>
      <c r="I155" s="149" t="s">
        <v>1665</v>
      </c>
      <c r="J155" s="111" t="s">
        <v>6</v>
      </c>
      <c r="K155" s="111"/>
      <c r="L155" s="112" t="s">
        <v>1541</v>
      </c>
    </row>
    <row r="156" spans="1:12" s="113" customFormat="1" ht="37.200000000000003" hidden="1" customHeight="1">
      <c r="A156" s="108">
        <f>SUBTOTAL(103,$B$2:B156)*1</f>
        <v>98</v>
      </c>
      <c r="B156" s="109" t="s">
        <v>1591</v>
      </c>
      <c r="C156" s="169" t="s">
        <v>1615</v>
      </c>
      <c r="D156" s="108"/>
      <c r="E156" s="110" t="s">
        <v>16</v>
      </c>
      <c r="F156" s="108"/>
      <c r="G156" s="102"/>
      <c r="H156" s="108" t="s">
        <v>162</v>
      </c>
      <c r="I156" s="104" t="str">
        <f>IF(G156="","",IF(G156=E156,"Pass","Fail"))</f>
        <v/>
      </c>
      <c r="J156" s="111" t="s">
        <v>6</v>
      </c>
      <c r="K156" s="111"/>
      <c r="L156" s="112" t="s">
        <v>1590</v>
      </c>
    </row>
    <row r="157" spans="1:12" s="113" customFormat="1" ht="25.2" hidden="1" customHeight="1">
      <c r="A157" s="108">
        <f>SUBTOTAL(103,$B$2:B157)*1</f>
        <v>98</v>
      </c>
      <c r="B157" s="109" t="s">
        <v>896</v>
      </c>
      <c r="C157" s="177" t="s">
        <v>897</v>
      </c>
      <c r="D157" s="108"/>
      <c r="E157" s="110" t="s">
        <v>7</v>
      </c>
      <c r="F157" s="108"/>
      <c r="G157" s="102"/>
      <c r="H157" s="108" t="s">
        <v>34</v>
      </c>
      <c r="I157" s="104" t="str">
        <f>IF(G157="","",IF(G157=E157,"Pass","Fail"))</f>
        <v/>
      </c>
      <c r="J157" s="111" t="s">
        <v>13</v>
      </c>
      <c r="K157" s="111"/>
      <c r="L157" s="112" t="s">
        <v>898</v>
      </c>
    </row>
    <row r="158" spans="1:12" s="113" customFormat="1" ht="25.2" customHeight="1">
      <c r="A158" s="132">
        <f>SUBTOTAL(103,$B$2:B158)*1</f>
        <v>99</v>
      </c>
      <c r="B158" s="127" t="s">
        <v>192</v>
      </c>
      <c r="C158" s="191" t="s">
        <v>390</v>
      </c>
      <c r="D158" s="132"/>
      <c r="E158" s="110" t="s">
        <v>7</v>
      </c>
      <c r="F158" s="132"/>
      <c r="G158" s="182" t="s">
        <v>7</v>
      </c>
      <c r="H158" s="132" t="s">
        <v>34</v>
      </c>
      <c r="I158" s="149" t="str">
        <f>IF(G158="","",IF(G158=E158,"Pass","Fail"))</f>
        <v>Pass</v>
      </c>
      <c r="J158" s="111" t="s">
        <v>13</v>
      </c>
      <c r="K158" s="111"/>
      <c r="L158" s="112" t="s">
        <v>500</v>
      </c>
    </row>
    <row r="159" spans="1:12" s="113" customFormat="1" ht="25.2" customHeight="1">
      <c r="A159" s="132">
        <f>SUBTOTAL(103,$B$2:B159)*1</f>
        <v>100</v>
      </c>
      <c r="B159" s="127" t="s">
        <v>192</v>
      </c>
      <c r="C159" s="162" t="s">
        <v>385</v>
      </c>
      <c r="D159" s="132"/>
      <c r="E159" s="110">
        <v>6</v>
      </c>
      <c r="F159" s="132"/>
      <c r="G159" s="182">
        <v>6</v>
      </c>
      <c r="H159" s="132" t="s">
        <v>34</v>
      </c>
      <c r="I159" s="149" t="str">
        <f>IF(G159="","",IF(G159=E159,"Pass","Fail"))</f>
        <v>Pass</v>
      </c>
      <c r="J159" s="111" t="s">
        <v>6</v>
      </c>
      <c r="K159" s="111"/>
      <c r="L159" s="112"/>
    </row>
    <row r="160" spans="1:12" s="113" customFormat="1" ht="25.2" customHeight="1">
      <c r="A160" s="132">
        <f>SUBTOTAL(103,$B$2:B160)*1</f>
        <v>101</v>
      </c>
      <c r="B160" s="127" t="s">
        <v>192</v>
      </c>
      <c r="C160" s="162" t="s">
        <v>84</v>
      </c>
      <c r="D160" s="220"/>
      <c r="E160" s="110"/>
      <c r="F160" s="220"/>
      <c r="G160" s="223">
        <v>0.13500000000000001</v>
      </c>
      <c r="H160" s="132" t="s">
        <v>198</v>
      </c>
      <c r="I160" s="149" t="s">
        <v>1665</v>
      </c>
      <c r="J160" s="147" t="s">
        <v>6</v>
      </c>
      <c r="K160" s="147"/>
      <c r="L160" s="112" t="s">
        <v>309</v>
      </c>
    </row>
    <row r="161" spans="1:12" s="113" customFormat="1" ht="25.2" customHeight="1">
      <c r="A161" s="132">
        <f>SUBTOTAL(103,$B$2:B161)*1</f>
        <v>102</v>
      </c>
      <c r="B161" s="127" t="s">
        <v>192</v>
      </c>
      <c r="C161" s="162" t="s">
        <v>86</v>
      </c>
      <c r="D161" s="220"/>
      <c r="E161" s="110"/>
      <c r="F161" s="220"/>
      <c r="G161" s="222">
        <v>-0.29799999999999999</v>
      </c>
      <c r="H161" s="132" t="s">
        <v>198</v>
      </c>
      <c r="I161" s="149" t="s">
        <v>1665</v>
      </c>
      <c r="J161" s="147" t="s">
        <v>6</v>
      </c>
      <c r="K161" s="147"/>
      <c r="L161" s="155" t="s">
        <v>309</v>
      </c>
    </row>
    <row r="162" spans="1:12" s="113" customFormat="1" ht="37.200000000000003" customHeight="1">
      <c r="A162" s="132">
        <f>SUBTOTAL(103,$B$2:B162)*1</f>
        <v>103</v>
      </c>
      <c r="B162" s="127" t="s">
        <v>1592</v>
      </c>
      <c r="C162" s="162" t="s">
        <v>1616</v>
      </c>
      <c r="D162" s="132"/>
      <c r="E162" s="110" t="s">
        <v>16</v>
      </c>
      <c r="F162" s="132"/>
      <c r="G162" s="182" t="s">
        <v>7</v>
      </c>
      <c r="H162" s="132" t="s">
        <v>162</v>
      </c>
      <c r="I162" s="149" t="str">
        <f>IF(G162="","",IF(G162=E162,"Pass","Fail"))</f>
        <v>Pass</v>
      </c>
      <c r="J162" s="111" t="s">
        <v>6</v>
      </c>
      <c r="K162" s="111"/>
      <c r="L162" s="112" t="s">
        <v>1590</v>
      </c>
    </row>
    <row r="163" spans="1:12" s="113" customFormat="1" ht="37.200000000000003" customHeight="1">
      <c r="A163" s="132">
        <f>SUBTOTAL(103,$B$2:B163)*1</f>
        <v>104</v>
      </c>
      <c r="B163" s="127" t="s">
        <v>1592</v>
      </c>
      <c r="C163" s="162" t="s">
        <v>1618</v>
      </c>
      <c r="D163" s="132"/>
      <c r="E163" s="110" t="s">
        <v>16</v>
      </c>
      <c r="F163" s="132"/>
      <c r="G163" s="182" t="s">
        <v>7</v>
      </c>
      <c r="H163" s="132" t="s">
        <v>162</v>
      </c>
      <c r="I163" s="149" t="str">
        <f>IF(G163="","",IF(G163=E163,"Pass","Fail"))</f>
        <v>Pass</v>
      </c>
      <c r="J163" s="111" t="s">
        <v>6</v>
      </c>
      <c r="K163" s="111"/>
      <c r="L163" s="112" t="s">
        <v>1590</v>
      </c>
    </row>
    <row r="164" spans="1:12" s="113" customFormat="1" ht="25.2" hidden="1" customHeight="1">
      <c r="A164" s="108">
        <f>SUBTOTAL(103,$B$2:B164)*1</f>
        <v>104</v>
      </c>
      <c r="B164" s="109" t="s">
        <v>222</v>
      </c>
      <c r="C164" s="169" t="s">
        <v>223</v>
      </c>
      <c r="D164" s="158">
        <v>1</v>
      </c>
      <c r="E164" s="110"/>
      <c r="F164" s="108"/>
      <c r="G164" s="157"/>
      <c r="H164" s="108" t="s">
        <v>130</v>
      </c>
      <c r="I164" s="104" t="str">
        <f>IF(G164="","",IF(G164&gt;=D164,"Pass","Fail"))</f>
        <v/>
      </c>
      <c r="J164" s="111" t="s">
        <v>13</v>
      </c>
      <c r="K164" s="111"/>
      <c r="L164" s="112"/>
    </row>
    <row r="165" spans="1:12" s="113" customFormat="1" ht="25.2" customHeight="1">
      <c r="A165" s="132">
        <f>SUBTOTAL(103,$B$2:B165)*1</f>
        <v>105</v>
      </c>
      <c r="B165" s="127" t="s">
        <v>221</v>
      </c>
      <c r="C165" s="162" t="s">
        <v>92</v>
      </c>
      <c r="D165" s="225">
        <v>1.25</v>
      </c>
      <c r="E165" s="110"/>
      <c r="F165" s="132"/>
      <c r="G165" s="228">
        <v>1.72</v>
      </c>
      <c r="H165" s="132" t="s">
        <v>130</v>
      </c>
      <c r="I165" s="149" t="str">
        <f>IF(G165="","",IF(G165&gt;=D165,"Pass","Fail"))</f>
        <v>Pass</v>
      </c>
      <c r="J165" s="111" t="s">
        <v>13</v>
      </c>
      <c r="K165" s="111"/>
      <c r="L165" s="112"/>
    </row>
    <row r="166" spans="1:12" s="113" customFormat="1" ht="25.2" hidden="1" customHeight="1">
      <c r="A166" s="108">
        <f>SUBTOTAL(103,$B$2:B166)*1</f>
        <v>105</v>
      </c>
      <c r="B166" s="109" t="s">
        <v>156</v>
      </c>
      <c r="C166" s="169" t="s">
        <v>176</v>
      </c>
      <c r="D166" s="108"/>
      <c r="E166" s="160" t="s">
        <v>1418</v>
      </c>
      <c r="F166" s="108"/>
      <c r="G166" s="102"/>
      <c r="H166" s="108" t="s">
        <v>34</v>
      </c>
      <c r="I166" s="104" t="str">
        <f>IF(G166="","",IF(G166=E166,"Pass",""))</f>
        <v/>
      </c>
      <c r="J166" s="147" t="s">
        <v>6</v>
      </c>
      <c r="K166" s="147"/>
      <c r="L166" s="115" t="s">
        <v>503</v>
      </c>
    </row>
    <row r="167" spans="1:12" s="113" customFormat="1" ht="25.2" hidden="1" customHeight="1">
      <c r="A167" s="108">
        <f>SUBTOTAL(103,$B$2:B167)*1</f>
        <v>105</v>
      </c>
      <c r="B167" s="109" t="s">
        <v>156</v>
      </c>
      <c r="C167" s="169" t="s">
        <v>206</v>
      </c>
      <c r="D167" s="108"/>
      <c r="E167" s="110" t="s">
        <v>57</v>
      </c>
      <c r="F167" s="108"/>
      <c r="G167" s="102"/>
      <c r="H167" s="108" t="s">
        <v>34</v>
      </c>
      <c r="I167" s="104" t="str">
        <f>IF(G167="","",IF(G167=E167,"Pass",""))</f>
        <v/>
      </c>
      <c r="J167" s="147" t="s">
        <v>6</v>
      </c>
      <c r="K167" s="147"/>
      <c r="L167" s="115"/>
    </row>
    <row r="168" spans="1:12" s="161" customFormat="1" ht="25.2" hidden="1" customHeight="1">
      <c r="A168" s="108">
        <f>SUBTOTAL(103,$B$2:B168)*1</f>
        <v>105</v>
      </c>
      <c r="B168" s="109" t="s">
        <v>157</v>
      </c>
      <c r="C168" s="169" t="s">
        <v>202</v>
      </c>
      <c r="D168" s="108" t="s">
        <v>345</v>
      </c>
      <c r="E168" s="110"/>
      <c r="F168" s="108"/>
      <c r="G168" s="122"/>
      <c r="H168" s="108" t="s">
        <v>34</v>
      </c>
      <c r="I168" s="104" t="str">
        <f>IF(G168="","",IF(G168&gt;=D168,"Pass","Fail"))</f>
        <v/>
      </c>
      <c r="J168" s="111" t="s">
        <v>6</v>
      </c>
      <c r="K168" s="111"/>
      <c r="L168" s="112" t="s">
        <v>800</v>
      </c>
    </row>
    <row r="169" spans="1:12" s="113" customFormat="1" ht="25.2" customHeight="1">
      <c r="A169" s="108">
        <f>SUBTOTAL(103,$B$2:B169)*1</f>
        <v>106</v>
      </c>
      <c r="B169" s="127" t="s">
        <v>158</v>
      </c>
      <c r="C169" s="162" t="s">
        <v>176</v>
      </c>
      <c r="D169" s="132"/>
      <c r="E169" s="160" t="s">
        <v>1732</v>
      </c>
      <c r="F169" s="132"/>
      <c r="G169" s="182" t="s">
        <v>1732</v>
      </c>
      <c r="H169" s="132" t="s">
        <v>34</v>
      </c>
      <c r="I169" s="149" t="str">
        <f>IF(G169="","",IF(G169=E169,"Pass","Fail"))</f>
        <v>Pass</v>
      </c>
      <c r="J169" s="147" t="s">
        <v>6</v>
      </c>
      <c r="K169" s="147"/>
      <c r="L169" s="115" t="s">
        <v>504</v>
      </c>
    </row>
    <row r="170" spans="1:12" s="113" customFormat="1" ht="25.2" customHeight="1">
      <c r="A170" s="108">
        <f>SUBTOTAL(103,$B$2:B170)*1</f>
        <v>107</v>
      </c>
      <c r="B170" s="127" t="s">
        <v>158</v>
      </c>
      <c r="C170" s="162" t="s">
        <v>87</v>
      </c>
      <c r="D170" s="132"/>
      <c r="E170" s="110" t="s">
        <v>1743</v>
      </c>
      <c r="F170" s="132"/>
      <c r="G170" s="182" t="s">
        <v>1743</v>
      </c>
      <c r="H170" s="132" t="s">
        <v>34</v>
      </c>
      <c r="I170" s="149" t="str">
        <f>IF(G170="","",IF(G170=E170,"Pass","Fail"))</f>
        <v>Pass</v>
      </c>
      <c r="J170" s="147" t="s">
        <v>6</v>
      </c>
      <c r="K170" s="147"/>
      <c r="L170" s="115"/>
    </row>
    <row r="171" spans="1:12" s="113" customFormat="1" ht="25.2" customHeight="1">
      <c r="A171" s="132">
        <f>SUBTOTAL(103,$B$2:B171)*1</f>
        <v>108</v>
      </c>
      <c r="B171" s="127" t="s">
        <v>159</v>
      </c>
      <c r="C171" s="191" t="s">
        <v>172</v>
      </c>
      <c r="D171" s="132"/>
      <c r="E171" s="110" t="s">
        <v>7</v>
      </c>
      <c r="F171" s="132"/>
      <c r="G171" s="182" t="s">
        <v>7</v>
      </c>
      <c r="H171" s="132" t="s">
        <v>34</v>
      </c>
      <c r="I171" s="149" t="str">
        <f>IF(G171="","",IF(G171=E171,"Pass","Fail"))</f>
        <v>Pass</v>
      </c>
      <c r="J171" s="111" t="s">
        <v>6</v>
      </c>
      <c r="K171" s="111"/>
      <c r="L171" s="112" t="s">
        <v>505</v>
      </c>
    </row>
    <row r="172" spans="1:12" s="113" customFormat="1" ht="25.2" customHeight="1">
      <c r="A172" s="132">
        <f>SUBTOTAL(103,$B$2:B172)*1</f>
        <v>109</v>
      </c>
      <c r="B172" s="127" t="s">
        <v>160</v>
      </c>
      <c r="C172" s="191" t="s">
        <v>82</v>
      </c>
      <c r="D172" s="132"/>
      <c r="E172" s="110" t="s">
        <v>7</v>
      </c>
      <c r="F172" s="132"/>
      <c r="G172" s="182" t="s">
        <v>7</v>
      </c>
      <c r="H172" s="132" t="s">
        <v>34</v>
      </c>
      <c r="I172" s="149" t="str">
        <f>IF(G172="","",IF(G172=E172,"Pass",""))</f>
        <v>Pass</v>
      </c>
      <c r="J172" s="147" t="s">
        <v>6</v>
      </c>
      <c r="K172" s="147"/>
      <c r="L172" s="112" t="s">
        <v>506</v>
      </c>
    </row>
    <row r="173" spans="1:12" s="113" customFormat="1" ht="25.2" customHeight="1">
      <c r="A173" s="132">
        <f>SUBTOTAL(103,$B$2:B173)*1</f>
        <v>110</v>
      </c>
      <c r="B173" s="127" t="s">
        <v>160</v>
      </c>
      <c r="C173" s="191" t="s">
        <v>669</v>
      </c>
      <c r="D173" s="132" t="s">
        <v>670</v>
      </c>
      <c r="E173" s="110"/>
      <c r="F173" s="132"/>
      <c r="G173" s="182" t="s">
        <v>1768</v>
      </c>
      <c r="H173" s="132" t="s">
        <v>131</v>
      </c>
      <c r="I173" s="149" t="str">
        <f>IF(G173="","",IF(G173&gt;=D173,"Pass","Fail"))</f>
        <v>Pass</v>
      </c>
      <c r="J173" s="147" t="s">
        <v>6</v>
      </c>
      <c r="K173" s="147"/>
      <c r="L173" s="112" t="s">
        <v>671</v>
      </c>
    </row>
    <row r="174" spans="1:12" s="113" customFormat="1" ht="25.2" customHeight="1">
      <c r="A174" s="108">
        <f>SUBTOTAL(103,$B$2:B174)*1</f>
        <v>111</v>
      </c>
      <c r="B174" s="109" t="s">
        <v>49</v>
      </c>
      <c r="C174" s="177" t="s">
        <v>53</v>
      </c>
      <c r="D174" s="108"/>
      <c r="E174" s="110" t="s">
        <v>7</v>
      </c>
      <c r="F174" s="108"/>
      <c r="G174" s="102" t="s">
        <v>1666</v>
      </c>
      <c r="H174" s="108" t="s">
        <v>34</v>
      </c>
      <c r="I174" s="104" t="str">
        <f t="shared" ref="I174:I196" si="10">IF(G174="","",IF(G174=E174,"Pass","Fail"))</f>
        <v>Pass</v>
      </c>
      <c r="J174" s="111" t="s">
        <v>6</v>
      </c>
      <c r="K174" s="111"/>
      <c r="L174" s="112"/>
    </row>
    <row r="175" spans="1:12" s="113" customFormat="1" ht="25.2" customHeight="1">
      <c r="A175" s="108">
        <f>SUBTOTAL(103,$B$2:B175)*1</f>
        <v>112</v>
      </c>
      <c r="B175" s="109" t="s">
        <v>49</v>
      </c>
      <c r="C175" s="177" t="s">
        <v>393</v>
      </c>
      <c r="D175" s="108"/>
      <c r="E175" s="110" t="s">
        <v>7</v>
      </c>
      <c r="F175" s="108"/>
      <c r="G175" s="102" t="s">
        <v>1666</v>
      </c>
      <c r="H175" s="108" t="s">
        <v>34</v>
      </c>
      <c r="I175" s="104" t="str">
        <f t="shared" si="10"/>
        <v>Pass</v>
      </c>
      <c r="J175" s="111" t="s">
        <v>6</v>
      </c>
      <c r="K175" s="111"/>
      <c r="L175" s="112"/>
    </row>
    <row r="176" spans="1:12" s="113" customFormat="1" ht="25.2" customHeight="1">
      <c r="A176" s="108">
        <f>SUBTOTAL(103,$B$2:B176)*1</f>
        <v>113</v>
      </c>
      <c r="B176" s="109" t="s">
        <v>49</v>
      </c>
      <c r="C176" s="177" t="s">
        <v>392</v>
      </c>
      <c r="D176" s="108"/>
      <c r="E176" s="110" t="s">
        <v>7</v>
      </c>
      <c r="F176" s="108"/>
      <c r="G176" s="102" t="s">
        <v>16</v>
      </c>
      <c r="H176" s="108" t="s">
        <v>34</v>
      </c>
      <c r="I176" s="104" t="str">
        <f t="shared" si="10"/>
        <v>Pass</v>
      </c>
      <c r="J176" s="111" t="s">
        <v>6</v>
      </c>
      <c r="K176" s="111"/>
      <c r="L176" s="112"/>
    </row>
    <row r="177" spans="1:12" s="113" customFormat="1" ht="25.2" customHeight="1">
      <c r="A177" s="108">
        <f>SUBTOTAL(103,$B$2:B177)*1</f>
        <v>114</v>
      </c>
      <c r="B177" s="109" t="s">
        <v>49</v>
      </c>
      <c r="C177" s="177" t="s">
        <v>394</v>
      </c>
      <c r="D177" s="108"/>
      <c r="E177" s="110" t="s">
        <v>7</v>
      </c>
      <c r="F177" s="108"/>
      <c r="G177" s="102" t="s">
        <v>16</v>
      </c>
      <c r="H177" s="108" t="s">
        <v>34</v>
      </c>
      <c r="I177" s="104" t="str">
        <f t="shared" si="10"/>
        <v>Pass</v>
      </c>
      <c r="J177" s="111" t="s">
        <v>6</v>
      </c>
      <c r="K177" s="111"/>
      <c r="L177" s="112"/>
    </row>
    <row r="178" spans="1:12" s="113" customFormat="1" ht="25.2" customHeight="1">
      <c r="A178" s="108">
        <f>SUBTOTAL(103,$B$2:B178)*1</f>
        <v>115</v>
      </c>
      <c r="B178" s="109" t="s">
        <v>49</v>
      </c>
      <c r="C178" s="177" t="s">
        <v>395</v>
      </c>
      <c r="D178" s="108"/>
      <c r="E178" s="110" t="s">
        <v>7</v>
      </c>
      <c r="F178" s="108"/>
      <c r="G178" s="102" t="s">
        <v>7</v>
      </c>
      <c r="H178" s="108" t="s">
        <v>34</v>
      </c>
      <c r="I178" s="104" t="str">
        <f t="shared" si="10"/>
        <v>Pass</v>
      </c>
      <c r="J178" s="111" t="s">
        <v>6</v>
      </c>
      <c r="K178" s="111"/>
      <c r="L178" s="112"/>
    </row>
    <row r="179" spans="1:12" s="113" customFormat="1" ht="25.2" customHeight="1">
      <c r="A179" s="132">
        <f>SUBTOTAL(103,$B$2:B179)*1</f>
        <v>116</v>
      </c>
      <c r="B179" s="127" t="s">
        <v>49</v>
      </c>
      <c r="C179" s="162" t="s">
        <v>396</v>
      </c>
      <c r="D179" s="132"/>
      <c r="E179" s="110" t="s">
        <v>7</v>
      </c>
      <c r="F179" s="132"/>
      <c r="G179" s="182" t="s">
        <v>7</v>
      </c>
      <c r="H179" s="132" t="s">
        <v>34</v>
      </c>
      <c r="I179" s="149" t="str">
        <f t="shared" si="10"/>
        <v>Pass</v>
      </c>
      <c r="J179" s="111" t="s">
        <v>6</v>
      </c>
      <c r="K179" s="111"/>
      <c r="L179" s="112"/>
    </row>
    <row r="180" spans="1:12" s="113" customFormat="1" ht="25.2" customHeight="1">
      <c r="A180" s="108">
        <f>SUBTOTAL(103,$B$2:B180)*1</f>
        <v>117</v>
      </c>
      <c r="B180" s="109" t="s">
        <v>49</v>
      </c>
      <c r="C180" s="169" t="s">
        <v>397</v>
      </c>
      <c r="D180" s="108"/>
      <c r="E180" s="110" t="s">
        <v>7</v>
      </c>
      <c r="F180" s="108"/>
      <c r="G180" s="102" t="s">
        <v>16</v>
      </c>
      <c r="H180" s="108" t="s">
        <v>34</v>
      </c>
      <c r="I180" s="104" t="str">
        <f t="shared" si="10"/>
        <v>Pass</v>
      </c>
      <c r="J180" s="111" t="s">
        <v>6</v>
      </c>
      <c r="K180" s="111"/>
      <c r="L180" s="112"/>
    </row>
    <row r="181" spans="1:12" s="113" customFormat="1" ht="25.2" customHeight="1">
      <c r="A181" s="108">
        <f>SUBTOTAL(103,$B$2:B181)*1</f>
        <v>118</v>
      </c>
      <c r="B181" s="109" t="s">
        <v>49</v>
      </c>
      <c r="C181" s="162" t="s">
        <v>398</v>
      </c>
      <c r="D181" s="108"/>
      <c r="E181" s="110" t="s">
        <v>7</v>
      </c>
      <c r="F181" s="108"/>
      <c r="G181" s="102" t="s">
        <v>16</v>
      </c>
      <c r="H181" s="108" t="s">
        <v>34</v>
      </c>
      <c r="I181" s="104" t="str">
        <f t="shared" si="10"/>
        <v>Pass</v>
      </c>
      <c r="J181" s="111" t="s">
        <v>6</v>
      </c>
      <c r="K181" s="111"/>
      <c r="L181" s="112"/>
    </row>
    <row r="182" spans="1:12" s="113" customFormat="1" ht="25.2" customHeight="1">
      <c r="A182" s="108">
        <f>SUBTOTAL(103,$B$2:B182)*1</f>
        <v>119</v>
      </c>
      <c r="B182" s="109" t="s">
        <v>49</v>
      </c>
      <c r="C182" s="162" t="s">
        <v>399</v>
      </c>
      <c r="D182" s="108"/>
      <c r="E182" s="110" t="s">
        <v>7</v>
      </c>
      <c r="F182" s="108"/>
      <c r="G182" s="102" t="s">
        <v>7</v>
      </c>
      <c r="H182" s="108" t="s">
        <v>34</v>
      </c>
      <c r="I182" s="104" t="str">
        <f>IF(G182="","",IF(G182=E182,"Pass","Fail"))</f>
        <v>Pass</v>
      </c>
      <c r="J182" s="111" t="s">
        <v>6</v>
      </c>
      <c r="K182" s="111"/>
      <c r="L182" s="112" t="s">
        <v>507</v>
      </c>
    </row>
    <row r="183" spans="1:12" s="113" customFormat="1" ht="25.2" customHeight="1">
      <c r="A183" s="108">
        <f>SUBTOTAL(103,$B$2:B183)*1</f>
        <v>120</v>
      </c>
      <c r="B183" s="109" t="s">
        <v>49</v>
      </c>
      <c r="C183" s="162" t="s">
        <v>400</v>
      </c>
      <c r="D183" s="108"/>
      <c r="E183" s="110" t="s">
        <v>7</v>
      </c>
      <c r="F183" s="108"/>
      <c r="G183" s="102" t="s">
        <v>7</v>
      </c>
      <c r="H183" s="108" t="s">
        <v>34</v>
      </c>
      <c r="I183" s="104" t="str">
        <f>IF(G183="","",IF(G183=E183,"Pass","Fail"))</f>
        <v>Pass</v>
      </c>
      <c r="J183" s="111" t="s">
        <v>6</v>
      </c>
      <c r="K183" s="111"/>
      <c r="L183" s="112" t="s">
        <v>508</v>
      </c>
    </row>
    <row r="184" spans="1:12" s="113" customFormat="1" ht="25.2" customHeight="1">
      <c r="A184" s="108">
        <f>SUBTOTAL(103,$B$2:B184)*1</f>
        <v>121</v>
      </c>
      <c r="B184" s="109" t="s">
        <v>49</v>
      </c>
      <c r="C184" s="169" t="s">
        <v>401</v>
      </c>
      <c r="D184" s="108"/>
      <c r="E184" s="110" t="s">
        <v>7</v>
      </c>
      <c r="F184" s="108"/>
      <c r="G184" s="102" t="s">
        <v>1666</v>
      </c>
      <c r="H184" s="108" t="s">
        <v>34</v>
      </c>
      <c r="I184" s="104" t="str">
        <f t="shared" si="10"/>
        <v>Pass</v>
      </c>
      <c r="J184" s="111" t="s">
        <v>6</v>
      </c>
      <c r="K184" s="111"/>
      <c r="L184" s="112"/>
    </row>
    <row r="185" spans="1:12" s="113" customFormat="1" ht="25.2" customHeight="1">
      <c r="A185" s="108">
        <f>SUBTOTAL(103,$B$2:B185)*1</f>
        <v>122</v>
      </c>
      <c r="B185" s="109" t="s">
        <v>49</v>
      </c>
      <c r="C185" s="169" t="s">
        <v>402</v>
      </c>
      <c r="D185" s="108"/>
      <c r="E185" s="110" t="s">
        <v>7</v>
      </c>
      <c r="F185" s="108"/>
      <c r="G185" s="102" t="s">
        <v>1666</v>
      </c>
      <c r="H185" s="108" t="s">
        <v>34</v>
      </c>
      <c r="I185" s="104" t="str">
        <f t="shared" si="10"/>
        <v>Pass</v>
      </c>
      <c r="J185" s="111" t="s">
        <v>6</v>
      </c>
      <c r="K185" s="111"/>
      <c r="L185" s="112" t="s">
        <v>509</v>
      </c>
    </row>
    <row r="186" spans="1:12" s="113" customFormat="1" ht="25.2" customHeight="1">
      <c r="A186" s="108">
        <f>SUBTOTAL(103,$B$2:B186)*1</f>
        <v>123</v>
      </c>
      <c r="B186" s="109" t="s">
        <v>49</v>
      </c>
      <c r="C186" s="162" t="s">
        <v>403</v>
      </c>
      <c r="D186" s="108"/>
      <c r="E186" s="110" t="s">
        <v>7</v>
      </c>
      <c r="F186" s="108"/>
      <c r="G186" s="102" t="s">
        <v>1666</v>
      </c>
      <c r="H186" s="108" t="s">
        <v>34</v>
      </c>
      <c r="I186" s="104" t="str">
        <f t="shared" si="10"/>
        <v>Pass</v>
      </c>
      <c r="J186" s="111" t="s">
        <v>6</v>
      </c>
      <c r="K186" s="111"/>
      <c r="L186" s="112"/>
    </row>
    <row r="187" spans="1:12" s="113" customFormat="1" ht="37.200000000000003">
      <c r="A187" s="108">
        <f>SUBTOTAL(103,$B$2:B187)*1</f>
        <v>124</v>
      </c>
      <c r="B187" s="109" t="s">
        <v>49</v>
      </c>
      <c r="C187" s="162" t="s">
        <v>1439</v>
      </c>
      <c r="D187" s="108"/>
      <c r="E187" s="110" t="s">
        <v>7</v>
      </c>
      <c r="F187" s="108"/>
      <c r="G187" s="102" t="s">
        <v>1666</v>
      </c>
      <c r="H187" s="108" t="s">
        <v>34</v>
      </c>
      <c r="I187" s="104" t="str">
        <f t="shared" si="10"/>
        <v>Pass</v>
      </c>
      <c r="J187" s="111" t="s">
        <v>6</v>
      </c>
      <c r="K187" s="111"/>
      <c r="L187" s="112"/>
    </row>
    <row r="188" spans="1:12" s="113" customFormat="1" ht="25.2" customHeight="1">
      <c r="A188" s="108">
        <f>SUBTOTAL(103,$B$2:B188)*1</f>
        <v>125</v>
      </c>
      <c r="B188" s="109" t="s">
        <v>49</v>
      </c>
      <c r="C188" s="162" t="s">
        <v>404</v>
      </c>
      <c r="D188" s="108"/>
      <c r="E188" s="110" t="s">
        <v>7</v>
      </c>
      <c r="F188" s="108"/>
      <c r="G188" s="102" t="s">
        <v>1666</v>
      </c>
      <c r="H188" s="108" t="s">
        <v>34</v>
      </c>
      <c r="I188" s="104" t="str">
        <f t="shared" si="10"/>
        <v>Pass</v>
      </c>
      <c r="J188" s="111" t="s">
        <v>6</v>
      </c>
      <c r="K188" s="111"/>
      <c r="L188" s="112"/>
    </row>
    <row r="189" spans="1:12" s="113" customFormat="1" ht="25.2" customHeight="1">
      <c r="A189" s="108">
        <f>SUBTOTAL(103,$B$2:B189)*1</f>
        <v>126</v>
      </c>
      <c r="B189" s="109" t="s">
        <v>49</v>
      </c>
      <c r="C189" s="162" t="s">
        <v>405</v>
      </c>
      <c r="D189" s="108"/>
      <c r="E189" s="110" t="s">
        <v>7</v>
      </c>
      <c r="F189" s="108"/>
      <c r="G189" s="102" t="s">
        <v>1666</v>
      </c>
      <c r="H189" s="108" t="s">
        <v>34</v>
      </c>
      <c r="I189" s="104" t="str">
        <f t="shared" si="10"/>
        <v>Pass</v>
      </c>
      <c r="J189" s="111" t="s">
        <v>6</v>
      </c>
      <c r="K189" s="111"/>
      <c r="L189" s="112"/>
    </row>
    <row r="190" spans="1:12" s="113" customFormat="1" ht="25.2" customHeight="1">
      <c r="A190" s="108">
        <f>SUBTOTAL(103,$B$2:B190)*1</f>
        <v>127</v>
      </c>
      <c r="B190" s="109" t="s">
        <v>49</v>
      </c>
      <c r="C190" s="177" t="s">
        <v>50</v>
      </c>
      <c r="D190" s="108"/>
      <c r="E190" s="110" t="s">
        <v>51</v>
      </c>
      <c r="F190" s="108"/>
      <c r="G190" s="102" t="s">
        <v>1685</v>
      </c>
      <c r="H190" s="108" t="s">
        <v>34</v>
      </c>
      <c r="I190" s="104" t="str">
        <f t="shared" si="10"/>
        <v>Pass</v>
      </c>
      <c r="J190" s="111" t="s">
        <v>6</v>
      </c>
      <c r="K190" s="111"/>
      <c r="L190" s="112"/>
    </row>
    <row r="191" spans="1:12" s="113" customFormat="1" ht="25.2" customHeight="1">
      <c r="A191" s="108">
        <f>SUBTOTAL(103,$B$2:B191)*1</f>
        <v>128</v>
      </c>
      <c r="B191" s="109" t="s">
        <v>49</v>
      </c>
      <c r="C191" s="169" t="s">
        <v>106</v>
      </c>
      <c r="D191" s="108"/>
      <c r="E191" s="110" t="s">
        <v>1687</v>
      </c>
      <c r="F191" s="108"/>
      <c r="G191" s="102" t="s">
        <v>1686</v>
      </c>
      <c r="H191" s="108" t="s">
        <v>34</v>
      </c>
      <c r="I191" s="104" t="str">
        <f t="shared" si="10"/>
        <v>Pass</v>
      </c>
      <c r="J191" s="111" t="s">
        <v>6</v>
      </c>
      <c r="K191" s="111"/>
      <c r="L191" s="112" t="s">
        <v>1350</v>
      </c>
    </row>
    <row r="192" spans="1:12" s="113" customFormat="1" ht="25.2" customHeight="1">
      <c r="A192" s="108">
        <f>SUBTOTAL(103,$B$2:B192)*1</f>
        <v>129</v>
      </c>
      <c r="B192" s="109" t="s">
        <v>49</v>
      </c>
      <c r="C192" s="177" t="s">
        <v>54</v>
      </c>
      <c r="D192" s="108"/>
      <c r="E192" s="110" t="s">
        <v>1689</v>
      </c>
      <c r="F192" s="108"/>
      <c r="G192" s="102" t="s">
        <v>1688</v>
      </c>
      <c r="H192" s="108" t="s">
        <v>34</v>
      </c>
      <c r="I192" s="104" t="str">
        <f t="shared" si="10"/>
        <v>Pass</v>
      </c>
      <c r="J192" s="111" t="s">
        <v>6</v>
      </c>
      <c r="K192" s="111"/>
      <c r="L192" s="112" t="s">
        <v>797</v>
      </c>
    </row>
    <row r="193" spans="1:12" s="113" customFormat="1" ht="25.2" customHeight="1">
      <c r="A193" s="108">
        <f>SUBTOTAL(103,$B$2:B193)*1</f>
        <v>130</v>
      </c>
      <c r="B193" s="109" t="s">
        <v>49</v>
      </c>
      <c r="C193" s="177" t="s">
        <v>150</v>
      </c>
      <c r="D193" s="108"/>
      <c r="E193" s="110">
        <v>5</v>
      </c>
      <c r="F193" s="108"/>
      <c r="G193" s="102">
        <v>5</v>
      </c>
      <c r="H193" s="108" t="s">
        <v>151</v>
      </c>
      <c r="I193" s="104" t="str">
        <f t="shared" si="10"/>
        <v>Pass</v>
      </c>
      <c r="J193" s="111" t="s">
        <v>6</v>
      </c>
      <c r="K193" s="111"/>
      <c r="L193" s="112" t="s">
        <v>528</v>
      </c>
    </row>
    <row r="194" spans="1:12" s="113" customFormat="1" ht="25.2" customHeight="1">
      <c r="A194" s="108">
        <f>SUBTOTAL(103,$B$2:B194)*1</f>
        <v>131</v>
      </c>
      <c r="B194" s="109" t="s">
        <v>49</v>
      </c>
      <c r="C194" s="177" t="s">
        <v>52</v>
      </c>
      <c r="D194" s="108"/>
      <c r="E194" s="110">
        <v>9600</v>
      </c>
      <c r="F194" s="108"/>
      <c r="G194" s="102">
        <v>9600</v>
      </c>
      <c r="H194" s="108" t="s">
        <v>34</v>
      </c>
      <c r="I194" s="104" t="str">
        <f t="shared" si="10"/>
        <v>Pass</v>
      </c>
      <c r="J194" s="111" t="s">
        <v>6</v>
      </c>
      <c r="K194" s="111"/>
      <c r="L194" s="112"/>
    </row>
    <row r="195" spans="1:12" ht="25.2" customHeight="1">
      <c r="A195" s="108">
        <f>SUBTOTAL(103,$B$2:B195)*1</f>
        <v>132</v>
      </c>
      <c r="B195" s="109" t="s">
        <v>49</v>
      </c>
      <c r="C195" s="177" t="s">
        <v>56</v>
      </c>
      <c r="D195" s="108"/>
      <c r="E195" s="110">
        <v>80</v>
      </c>
      <c r="F195" s="108"/>
      <c r="G195" s="102">
        <v>80</v>
      </c>
      <c r="H195" s="108" t="s">
        <v>34</v>
      </c>
      <c r="I195" s="104" t="str">
        <f t="shared" si="10"/>
        <v>Pass</v>
      </c>
      <c r="J195" s="111" t="s">
        <v>6</v>
      </c>
      <c r="K195" s="111"/>
      <c r="L195" s="112"/>
    </row>
    <row r="196" spans="1:12" s="113" customFormat="1" ht="25.2" customHeight="1">
      <c r="A196" s="108">
        <f>SUBTOTAL(103,$B$2:B196)*1</f>
        <v>133</v>
      </c>
      <c r="B196" s="109" t="s">
        <v>49</v>
      </c>
      <c r="C196" s="177" t="s">
        <v>55</v>
      </c>
      <c r="D196" s="108"/>
      <c r="E196" s="110">
        <v>0</v>
      </c>
      <c r="F196" s="108"/>
      <c r="G196" s="102">
        <v>0</v>
      </c>
      <c r="H196" s="108" t="s">
        <v>34</v>
      </c>
      <c r="I196" s="104" t="str">
        <f t="shared" si="10"/>
        <v>Pass</v>
      </c>
      <c r="J196" s="111" t="s">
        <v>6</v>
      </c>
      <c r="K196" s="111"/>
      <c r="L196" s="112"/>
    </row>
    <row r="197" spans="1:12" s="113" customFormat="1" ht="25.2" customHeight="1">
      <c r="A197" s="108">
        <f>SUBTOTAL(103,$B$2:B197)*1</f>
        <v>134</v>
      </c>
      <c r="B197" s="109" t="s">
        <v>49</v>
      </c>
      <c r="C197" s="177" t="s">
        <v>58</v>
      </c>
      <c r="D197" s="108"/>
      <c r="E197" s="110"/>
      <c r="F197" s="108"/>
      <c r="G197" s="102" t="s">
        <v>1699</v>
      </c>
      <c r="H197" s="108" t="s">
        <v>131</v>
      </c>
      <c r="I197" s="104" t="s">
        <v>1665</v>
      </c>
      <c r="J197" s="111" t="s">
        <v>6</v>
      </c>
      <c r="K197" s="111"/>
      <c r="L197" s="112"/>
    </row>
    <row r="198" spans="1:12" s="113" customFormat="1" ht="25.2" customHeight="1">
      <c r="A198" s="108">
        <f>SUBTOTAL(103,$B$2:B198)*1</f>
        <v>135</v>
      </c>
      <c r="B198" s="109" t="s">
        <v>49</v>
      </c>
      <c r="C198" s="177" t="s">
        <v>107</v>
      </c>
      <c r="D198" s="117">
        <v>-80</v>
      </c>
      <c r="E198" s="119"/>
      <c r="F198" s="117">
        <v>-60</v>
      </c>
      <c r="G198" s="118" t="s">
        <v>1729</v>
      </c>
      <c r="H198" s="117" t="s">
        <v>134</v>
      </c>
      <c r="I198" s="104" t="s">
        <v>1730</v>
      </c>
      <c r="J198" s="111" t="s">
        <v>6</v>
      </c>
      <c r="K198" s="111"/>
      <c r="L198" s="112"/>
    </row>
    <row r="199" spans="1:12" s="113" customFormat="1" ht="25.2" customHeight="1">
      <c r="A199" s="108">
        <f>SUBTOTAL(103,$B$2:B199)*1</f>
        <v>136</v>
      </c>
      <c r="B199" s="109" t="s">
        <v>49</v>
      </c>
      <c r="C199" s="191" t="s">
        <v>97</v>
      </c>
      <c r="D199" s="108"/>
      <c r="E199" s="110" t="s">
        <v>7</v>
      </c>
      <c r="F199" s="108"/>
      <c r="G199" s="102" t="s">
        <v>7</v>
      </c>
      <c r="H199" s="108" t="s">
        <v>34</v>
      </c>
      <c r="I199" s="104" t="str">
        <f>IF(G199="","",IF(G199=E199,"Pass","Fail"))</f>
        <v>Pass</v>
      </c>
      <c r="J199" s="111" t="s">
        <v>6</v>
      </c>
      <c r="K199" s="111"/>
      <c r="L199" s="112"/>
    </row>
    <row r="200" spans="1:12" s="113" customFormat="1" ht="25.2" customHeight="1">
      <c r="A200" s="108">
        <f>SUBTOTAL(103,$B$2:B200)*1</f>
        <v>137</v>
      </c>
      <c r="B200" s="109" t="s">
        <v>49</v>
      </c>
      <c r="C200" s="191" t="s">
        <v>113</v>
      </c>
      <c r="D200" s="108"/>
      <c r="E200" s="110" t="s">
        <v>7</v>
      </c>
      <c r="F200" s="108"/>
      <c r="G200" s="102" t="s">
        <v>1666</v>
      </c>
      <c r="H200" s="108" t="s">
        <v>34</v>
      </c>
      <c r="I200" s="104" t="str">
        <f>IF(G200="","",IF(G200=E200,"Pass","Fail"))</f>
        <v>Pass</v>
      </c>
      <c r="J200" s="111" t="s">
        <v>6</v>
      </c>
      <c r="K200" s="111"/>
      <c r="L200" s="112"/>
    </row>
    <row r="201" spans="1:12" s="113" customFormat="1" ht="25.2" customHeight="1">
      <c r="A201" s="132">
        <f>SUBTOTAL(103,$B$2:B201)*1</f>
        <v>138</v>
      </c>
      <c r="B201" s="127" t="s">
        <v>49</v>
      </c>
      <c r="C201" s="191" t="s">
        <v>163</v>
      </c>
      <c r="D201" s="132"/>
      <c r="E201" s="110" t="s">
        <v>7</v>
      </c>
      <c r="F201" s="132"/>
      <c r="G201" s="182" t="s">
        <v>7</v>
      </c>
      <c r="H201" s="132" t="s">
        <v>34</v>
      </c>
      <c r="I201" s="149" t="str">
        <f>IF(G201="","",IF(G201=E201,"Pass","Fail"))</f>
        <v>Pass</v>
      </c>
      <c r="J201" s="111" t="s">
        <v>6</v>
      </c>
      <c r="K201" s="111"/>
      <c r="L201" s="112"/>
    </row>
    <row r="202" spans="1:12" s="113" customFormat="1" ht="25.2" customHeight="1">
      <c r="A202" s="108">
        <f>SUBTOTAL(103,$B$2:B202)*1</f>
        <v>139</v>
      </c>
      <c r="B202" s="109" t="s">
        <v>49</v>
      </c>
      <c r="C202" s="177" t="s">
        <v>422</v>
      </c>
      <c r="D202" s="108"/>
      <c r="E202" s="110" t="s">
        <v>1700</v>
      </c>
      <c r="F202" s="108"/>
      <c r="G202" s="135" t="s">
        <v>98</v>
      </c>
      <c r="H202" s="108" t="s">
        <v>34</v>
      </c>
      <c r="I202" s="104" t="str">
        <f>IF(G202="","",IF(G202=E202,"Pass","Fail"))</f>
        <v>Pass</v>
      </c>
      <c r="J202" s="111" t="s">
        <v>6</v>
      </c>
      <c r="K202" s="111"/>
      <c r="L202" s="112"/>
    </row>
    <row r="203" spans="1:12" s="113" customFormat="1" ht="25.2" customHeight="1">
      <c r="A203" s="108">
        <f>SUBTOTAL(103,$B$2:B203)*1</f>
        <v>140</v>
      </c>
      <c r="B203" s="109" t="s">
        <v>49</v>
      </c>
      <c r="C203" s="177" t="s">
        <v>684</v>
      </c>
      <c r="D203" s="108"/>
      <c r="E203" s="110"/>
      <c r="F203" s="108"/>
      <c r="G203" s="135" t="s">
        <v>1699</v>
      </c>
      <c r="H203" s="108" t="s">
        <v>131</v>
      </c>
      <c r="I203" s="104" t="s">
        <v>1665</v>
      </c>
      <c r="J203" s="111" t="s">
        <v>6</v>
      </c>
      <c r="K203" s="111"/>
      <c r="L203" s="112"/>
    </row>
    <row r="204" spans="1:12" s="113" customFormat="1" ht="37.200000000000003" customHeight="1">
      <c r="A204" s="108">
        <f>SUBTOTAL(103,$B$2:B204)*1</f>
        <v>141</v>
      </c>
      <c r="B204" s="109" t="s">
        <v>49</v>
      </c>
      <c r="C204" s="177" t="s">
        <v>1453</v>
      </c>
      <c r="D204" s="108"/>
      <c r="E204" s="110" t="s">
        <v>7</v>
      </c>
      <c r="F204" s="108"/>
      <c r="G204" s="102" t="s">
        <v>7</v>
      </c>
      <c r="H204" s="108" t="s">
        <v>34</v>
      </c>
      <c r="I204" s="104" t="str">
        <f t="shared" ref="I204" si="11">IF(G204="","",IF(G204=E204,"Pass","Fail"))</f>
        <v>Pass</v>
      </c>
      <c r="J204" s="111" t="s">
        <v>6</v>
      </c>
      <c r="K204" s="111"/>
      <c r="L204" s="112"/>
    </row>
    <row r="205" spans="1:12" s="113" customFormat="1" ht="25.2" customHeight="1">
      <c r="A205" s="108">
        <f>SUBTOTAL(103,$B$2:B205)*1</f>
        <v>142</v>
      </c>
      <c r="B205" s="109" t="s">
        <v>49</v>
      </c>
      <c r="C205" s="177" t="s">
        <v>1269</v>
      </c>
      <c r="D205" s="108">
        <v>-80</v>
      </c>
      <c r="E205" s="110"/>
      <c r="F205" s="108">
        <v>-60</v>
      </c>
      <c r="G205" s="118" t="s">
        <v>1784</v>
      </c>
      <c r="H205" s="108" t="s">
        <v>134</v>
      </c>
      <c r="I205" s="104" t="s">
        <v>1731</v>
      </c>
      <c r="J205" s="111" t="s">
        <v>6</v>
      </c>
      <c r="K205" s="111"/>
      <c r="L205" s="112" t="s">
        <v>1270</v>
      </c>
    </row>
    <row r="206" spans="1:12" s="113" customFormat="1" ht="25.2" customHeight="1">
      <c r="A206" s="108">
        <f>SUBTOTAL(103,$B$2:B206)*1</f>
        <v>143</v>
      </c>
      <c r="B206" s="109" t="s">
        <v>152</v>
      </c>
      <c r="C206" s="177" t="s">
        <v>1235</v>
      </c>
      <c r="D206" s="108"/>
      <c r="E206" s="110" t="s">
        <v>7</v>
      </c>
      <c r="F206" s="108"/>
      <c r="G206" s="102" t="s">
        <v>7</v>
      </c>
      <c r="H206" s="108" t="s">
        <v>34</v>
      </c>
      <c r="I206" s="104" t="str">
        <f t="shared" ref="I206:I221" si="12">IF(G206="","",IF(G206=E206,"Pass","Fail"))</f>
        <v>Pass</v>
      </c>
      <c r="J206" s="111" t="s">
        <v>6</v>
      </c>
      <c r="K206" s="111"/>
      <c r="L206" s="112" t="s">
        <v>761</v>
      </c>
    </row>
    <row r="207" spans="1:12" s="113" customFormat="1" ht="25.2" customHeight="1">
      <c r="A207" s="108">
        <f>SUBTOTAL(103,$B$2:B207)*1</f>
        <v>144</v>
      </c>
      <c r="B207" s="109" t="s">
        <v>152</v>
      </c>
      <c r="C207" s="177" t="s">
        <v>1237</v>
      </c>
      <c r="D207" s="108"/>
      <c r="E207" s="110" t="s">
        <v>7</v>
      </c>
      <c r="F207" s="108"/>
      <c r="G207" s="102" t="s">
        <v>7</v>
      </c>
      <c r="H207" s="108" t="s">
        <v>34</v>
      </c>
      <c r="I207" s="104" t="str">
        <f t="shared" si="12"/>
        <v>Pass</v>
      </c>
      <c r="J207" s="111" t="s">
        <v>6</v>
      </c>
      <c r="K207" s="111"/>
      <c r="L207" s="112" t="s">
        <v>761</v>
      </c>
    </row>
    <row r="208" spans="1:12" s="113" customFormat="1" ht="25.2" customHeight="1">
      <c r="A208" s="108">
        <f>SUBTOTAL(103,$B$2:B208)*1</f>
        <v>145</v>
      </c>
      <c r="B208" s="109" t="s">
        <v>152</v>
      </c>
      <c r="C208" s="177" t="s">
        <v>1248</v>
      </c>
      <c r="D208" s="108"/>
      <c r="E208" s="110" t="s">
        <v>7</v>
      </c>
      <c r="F208" s="108"/>
      <c r="G208" s="102" t="s">
        <v>7</v>
      </c>
      <c r="H208" s="108" t="s">
        <v>34</v>
      </c>
      <c r="I208" s="104" t="str">
        <f>IF(G208="","",IF(G208=E208,"Pass","Fail"))</f>
        <v>Pass</v>
      </c>
      <c r="J208" s="111" t="s">
        <v>6</v>
      </c>
      <c r="K208" s="111"/>
      <c r="L208" s="112" t="s">
        <v>761</v>
      </c>
    </row>
    <row r="209" spans="1:12" s="113" customFormat="1" ht="25.2" customHeight="1">
      <c r="A209" s="108">
        <f>SUBTOTAL(103,$B$2:B209)*1</f>
        <v>146</v>
      </c>
      <c r="B209" s="109" t="s">
        <v>152</v>
      </c>
      <c r="C209" s="177" t="s">
        <v>1239</v>
      </c>
      <c r="D209" s="108"/>
      <c r="E209" s="110" t="s">
        <v>7</v>
      </c>
      <c r="F209" s="108"/>
      <c r="G209" s="102" t="s">
        <v>7</v>
      </c>
      <c r="H209" s="108" t="s">
        <v>34</v>
      </c>
      <c r="I209" s="104" t="str">
        <f>IF(G209="","",IF(G209=E209,"Pass","Fail"))</f>
        <v>Pass</v>
      </c>
      <c r="J209" s="111" t="s">
        <v>6</v>
      </c>
      <c r="K209" s="111"/>
      <c r="L209" s="112" t="s">
        <v>761</v>
      </c>
    </row>
    <row r="210" spans="1:12" s="113" customFormat="1" ht="25.2" customHeight="1">
      <c r="A210" s="108">
        <f>SUBTOTAL(103,$B$2:B210)*1</f>
        <v>147</v>
      </c>
      <c r="B210" s="109" t="s">
        <v>152</v>
      </c>
      <c r="C210" s="177" t="s">
        <v>1241</v>
      </c>
      <c r="D210" s="108"/>
      <c r="E210" s="110" t="s">
        <v>7</v>
      </c>
      <c r="F210" s="108"/>
      <c r="G210" s="102" t="s">
        <v>7</v>
      </c>
      <c r="H210" s="108" t="s">
        <v>34</v>
      </c>
      <c r="I210" s="104" t="str">
        <f t="shared" si="12"/>
        <v>Pass</v>
      </c>
      <c r="J210" s="111" t="s">
        <v>6</v>
      </c>
      <c r="K210" s="111"/>
      <c r="L210" s="112" t="s">
        <v>761</v>
      </c>
    </row>
    <row r="211" spans="1:12" s="113" customFormat="1" ht="25.2" customHeight="1">
      <c r="A211" s="132">
        <f>SUBTOTAL(103,$B$2:B211)*1</f>
        <v>148</v>
      </c>
      <c r="B211" s="127" t="s">
        <v>152</v>
      </c>
      <c r="C211" s="191" t="s">
        <v>1243</v>
      </c>
      <c r="D211" s="132"/>
      <c r="E211" s="110" t="s">
        <v>7</v>
      </c>
      <c r="F211" s="132"/>
      <c r="G211" s="182" t="s">
        <v>7</v>
      </c>
      <c r="H211" s="132" t="s">
        <v>34</v>
      </c>
      <c r="I211" s="149" t="str">
        <f t="shared" si="12"/>
        <v>Pass</v>
      </c>
      <c r="J211" s="111" t="s">
        <v>6</v>
      </c>
      <c r="K211" s="111"/>
      <c r="L211" s="112" t="s">
        <v>761</v>
      </c>
    </row>
    <row r="212" spans="1:12" s="113" customFormat="1" ht="25.2" customHeight="1">
      <c r="A212" s="132">
        <f>SUBTOTAL(103,$B$2:B212)*1</f>
        <v>149</v>
      </c>
      <c r="B212" s="127" t="s">
        <v>152</v>
      </c>
      <c r="C212" s="191" t="s">
        <v>1245</v>
      </c>
      <c r="D212" s="132"/>
      <c r="E212" s="110" t="s">
        <v>7</v>
      </c>
      <c r="F212" s="132"/>
      <c r="G212" s="182" t="s">
        <v>7</v>
      </c>
      <c r="H212" s="132" t="s">
        <v>34</v>
      </c>
      <c r="I212" s="149" t="str">
        <f t="shared" si="12"/>
        <v>Pass</v>
      </c>
      <c r="J212" s="111" t="s">
        <v>6</v>
      </c>
      <c r="K212" s="111"/>
      <c r="L212" s="112" t="s">
        <v>761</v>
      </c>
    </row>
    <row r="213" spans="1:12" s="113" customFormat="1" ht="25.2" customHeight="1">
      <c r="A213" s="108">
        <f>SUBTOTAL(103,$B$2:B213)*1</f>
        <v>150</v>
      </c>
      <c r="B213" s="109" t="s">
        <v>152</v>
      </c>
      <c r="C213" s="169" t="s">
        <v>1458</v>
      </c>
      <c r="D213" s="108"/>
      <c r="E213" s="110" t="s">
        <v>7</v>
      </c>
      <c r="F213" s="108"/>
      <c r="G213" s="102" t="s">
        <v>7</v>
      </c>
      <c r="H213" s="108" t="s">
        <v>34</v>
      </c>
      <c r="I213" s="104" t="str">
        <f t="shared" si="12"/>
        <v>Pass</v>
      </c>
      <c r="J213" s="111" t="s">
        <v>6</v>
      </c>
      <c r="K213" s="111"/>
      <c r="L213" s="237" t="s">
        <v>1012</v>
      </c>
    </row>
    <row r="214" spans="1:12" s="113" customFormat="1" ht="25.2" customHeight="1">
      <c r="A214" s="108">
        <f>SUBTOTAL(103,$B$2:B214)*1</f>
        <v>151</v>
      </c>
      <c r="B214" s="109" t="s">
        <v>152</v>
      </c>
      <c r="C214" s="169" t="s">
        <v>1459</v>
      </c>
      <c r="D214" s="108"/>
      <c r="E214" s="110" t="s">
        <v>7</v>
      </c>
      <c r="F214" s="108"/>
      <c r="G214" s="102" t="s">
        <v>7</v>
      </c>
      <c r="H214" s="108" t="s">
        <v>34</v>
      </c>
      <c r="I214" s="104" t="str">
        <f t="shared" si="12"/>
        <v>Pass</v>
      </c>
      <c r="J214" s="111" t="s">
        <v>6</v>
      </c>
      <c r="K214" s="111"/>
      <c r="L214" s="238"/>
    </row>
    <row r="215" spans="1:12" s="113" customFormat="1" ht="25.2" customHeight="1">
      <c r="A215" s="108">
        <f>SUBTOTAL(103,$B$2:B215)*1</f>
        <v>152</v>
      </c>
      <c r="B215" s="109" t="s">
        <v>152</v>
      </c>
      <c r="C215" s="169" t="s">
        <v>1460</v>
      </c>
      <c r="D215" s="108"/>
      <c r="E215" s="110" t="s">
        <v>7</v>
      </c>
      <c r="F215" s="108"/>
      <c r="G215" s="102" t="s">
        <v>7</v>
      </c>
      <c r="H215" s="108" t="s">
        <v>34</v>
      </c>
      <c r="I215" s="104" t="str">
        <f t="shared" si="12"/>
        <v>Pass</v>
      </c>
      <c r="J215" s="111" t="s">
        <v>6</v>
      </c>
      <c r="K215" s="111"/>
      <c r="L215" s="239"/>
    </row>
    <row r="216" spans="1:12" s="113" customFormat="1" ht="25.2" customHeight="1">
      <c r="A216" s="108">
        <f>SUBTOTAL(103,$B$2:B216)*1</f>
        <v>153</v>
      </c>
      <c r="B216" s="109" t="s">
        <v>152</v>
      </c>
      <c r="C216" s="169" t="s">
        <v>1594</v>
      </c>
      <c r="D216" s="108"/>
      <c r="E216" s="110" t="s">
        <v>108</v>
      </c>
      <c r="F216" s="108"/>
      <c r="G216" s="102" t="s">
        <v>1702</v>
      </c>
      <c r="H216" s="108" t="s">
        <v>34</v>
      </c>
      <c r="I216" s="104" t="str">
        <f t="shared" si="12"/>
        <v>Pass</v>
      </c>
      <c r="J216" s="111" t="s">
        <v>6</v>
      </c>
      <c r="K216" s="111"/>
      <c r="L216" s="112"/>
    </row>
    <row r="217" spans="1:12" s="113" customFormat="1" ht="25.2" customHeight="1">
      <c r="A217" s="108">
        <f>SUBTOTAL(103,$B$2:B217)*1</f>
        <v>154</v>
      </c>
      <c r="B217" s="109" t="s">
        <v>152</v>
      </c>
      <c r="C217" s="169" t="s">
        <v>599</v>
      </c>
      <c r="D217" s="108"/>
      <c r="E217" s="110" t="s">
        <v>1701</v>
      </c>
      <c r="F217" s="108"/>
      <c r="G217" s="102" t="s">
        <v>1702</v>
      </c>
      <c r="H217" s="108" t="s">
        <v>34</v>
      </c>
      <c r="I217" s="104" t="str">
        <f t="shared" si="12"/>
        <v>Pass</v>
      </c>
      <c r="J217" s="111" t="s">
        <v>6</v>
      </c>
      <c r="K217" s="111"/>
      <c r="L217" s="112"/>
    </row>
    <row r="218" spans="1:12" s="113" customFormat="1" ht="37.200000000000003">
      <c r="A218" s="108">
        <f>SUBTOTAL(103,$B$2:B218)*1</f>
        <v>155</v>
      </c>
      <c r="B218" s="109" t="s">
        <v>152</v>
      </c>
      <c r="C218" s="162" t="s">
        <v>1440</v>
      </c>
      <c r="D218" s="108"/>
      <c r="E218" s="110" t="s">
        <v>203</v>
      </c>
      <c r="F218" s="108"/>
      <c r="G218" s="135" t="s">
        <v>1703</v>
      </c>
      <c r="H218" s="108" t="s">
        <v>34</v>
      </c>
      <c r="I218" s="104" t="str">
        <f t="shared" si="12"/>
        <v>Pass</v>
      </c>
      <c r="J218" s="111" t="s">
        <v>6</v>
      </c>
      <c r="K218" s="111"/>
      <c r="L218" s="112"/>
    </row>
    <row r="219" spans="1:12" s="113" customFormat="1" ht="37.200000000000003">
      <c r="A219" s="108">
        <f>SUBTOTAL(103,$B$2:B219)*1</f>
        <v>156</v>
      </c>
      <c r="B219" s="109" t="s">
        <v>152</v>
      </c>
      <c r="C219" s="162" t="s">
        <v>1596</v>
      </c>
      <c r="D219" s="108"/>
      <c r="E219" s="110" t="s">
        <v>7</v>
      </c>
      <c r="F219" s="108"/>
      <c r="G219" s="102" t="s">
        <v>7</v>
      </c>
      <c r="H219" s="108" t="s">
        <v>34</v>
      </c>
      <c r="I219" s="104" t="str">
        <f t="shared" ref="I219" si="13">IF(G219="","",IF(G219=E219,"Pass","Fail"))</f>
        <v>Pass</v>
      </c>
      <c r="J219" s="111" t="s">
        <v>6</v>
      </c>
      <c r="K219" s="111"/>
      <c r="L219" s="112" t="s">
        <v>1597</v>
      </c>
    </row>
    <row r="220" spans="1:12" s="113" customFormat="1" ht="25.2" hidden="1" customHeight="1">
      <c r="A220" s="108">
        <f>SUBTOTAL(103,$B$2:B220)*1</f>
        <v>156</v>
      </c>
      <c r="B220" s="109" t="s">
        <v>119</v>
      </c>
      <c r="C220" s="177" t="s">
        <v>1252</v>
      </c>
      <c r="D220" s="108"/>
      <c r="E220" s="110" t="s">
        <v>7</v>
      </c>
      <c r="F220" s="108"/>
      <c r="G220" s="102"/>
      <c r="H220" s="108" t="s">
        <v>34</v>
      </c>
      <c r="I220" s="104" t="str">
        <f t="shared" si="12"/>
        <v/>
      </c>
      <c r="J220" s="111" t="s">
        <v>6</v>
      </c>
      <c r="K220" s="111"/>
      <c r="L220" s="112" t="s">
        <v>1253</v>
      </c>
    </row>
    <row r="221" spans="1:12" s="113" customFormat="1" ht="25.2" hidden="1" customHeight="1">
      <c r="A221" s="108">
        <f>SUBTOTAL(103,$B$2:B221)*1</f>
        <v>156</v>
      </c>
      <c r="B221" s="109" t="s">
        <v>119</v>
      </c>
      <c r="C221" s="177" t="s">
        <v>1250</v>
      </c>
      <c r="D221" s="108"/>
      <c r="E221" s="110" t="s">
        <v>7</v>
      </c>
      <c r="F221" s="108"/>
      <c r="G221" s="102"/>
      <c r="H221" s="108" t="s">
        <v>34</v>
      </c>
      <c r="I221" s="104" t="str">
        <f t="shared" si="12"/>
        <v/>
      </c>
      <c r="J221" s="111" t="s">
        <v>6</v>
      </c>
      <c r="K221" s="111"/>
      <c r="L221" s="112" t="s">
        <v>1254</v>
      </c>
    </row>
    <row r="222" spans="1:12" s="113" customFormat="1" ht="25.2" hidden="1" customHeight="1">
      <c r="A222" s="108">
        <f>SUBTOTAL(103,$B$2:B222)*1</f>
        <v>156</v>
      </c>
      <c r="B222" s="109" t="s">
        <v>119</v>
      </c>
      <c r="C222" s="177" t="s">
        <v>38</v>
      </c>
      <c r="D222" s="108"/>
      <c r="E222" s="110">
        <v>3</v>
      </c>
      <c r="F222" s="108"/>
      <c r="G222" s="118"/>
      <c r="H222" s="108" t="s">
        <v>34</v>
      </c>
      <c r="I222" s="104" t="str">
        <f t="shared" ref="I222:I232" si="14">IF(G222="","",IF(G222=E222,"Pass","Fail"))</f>
        <v/>
      </c>
      <c r="J222" s="111" t="s">
        <v>6</v>
      </c>
      <c r="K222" s="111"/>
      <c r="L222" s="112"/>
    </row>
    <row r="223" spans="1:12" s="113" customFormat="1" ht="25.2" hidden="1" customHeight="1">
      <c r="A223" s="108">
        <f>SUBTOTAL(103,$B$2:B223)*1</f>
        <v>156</v>
      </c>
      <c r="B223" s="109" t="s">
        <v>119</v>
      </c>
      <c r="C223" s="169" t="s">
        <v>459</v>
      </c>
      <c r="D223" s="108"/>
      <c r="E223" s="110" t="s">
        <v>108</v>
      </c>
      <c r="F223" s="108"/>
      <c r="G223" s="102"/>
      <c r="H223" s="108" t="s">
        <v>34</v>
      </c>
      <c r="I223" s="104" t="str">
        <f t="shared" si="14"/>
        <v/>
      </c>
      <c r="J223" s="111" t="s">
        <v>6</v>
      </c>
      <c r="K223" s="111"/>
      <c r="L223" s="112"/>
    </row>
    <row r="224" spans="1:12" s="113" customFormat="1" ht="25.2" hidden="1" customHeight="1">
      <c r="A224" s="108">
        <f>SUBTOTAL(103,$B$2:B224)*1</f>
        <v>156</v>
      </c>
      <c r="B224" s="109" t="s">
        <v>119</v>
      </c>
      <c r="C224" s="169" t="s">
        <v>460</v>
      </c>
      <c r="D224" s="108"/>
      <c r="E224" s="110" t="s">
        <v>108</v>
      </c>
      <c r="F224" s="108"/>
      <c r="G224" s="102"/>
      <c r="H224" s="108" t="s">
        <v>34</v>
      </c>
      <c r="I224" s="104" t="str">
        <f t="shared" si="14"/>
        <v/>
      </c>
      <c r="J224" s="111" t="s">
        <v>6</v>
      </c>
      <c r="K224" s="111"/>
      <c r="L224" s="112"/>
    </row>
    <row r="225" spans="1:12" s="113" customFormat="1" ht="25.2" hidden="1" customHeight="1">
      <c r="A225" s="108">
        <f>SUBTOTAL(103,$B$2:B225)*1</f>
        <v>156</v>
      </c>
      <c r="B225" s="109" t="s">
        <v>119</v>
      </c>
      <c r="C225" s="162" t="s">
        <v>461</v>
      </c>
      <c r="D225" s="108"/>
      <c r="E225" s="110" t="s">
        <v>109</v>
      </c>
      <c r="F225" s="108"/>
      <c r="G225" s="102"/>
      <c r="H225" s="108" t="s">
        <v>34</v>
      </c>
      <c r="I225" s="104" t="str">
        <f t="shared" si="14"/>
        <v/>
      </c>
      <c r="J225" s="111" t="s">
        <v>6</v>
      </c>
      <c r="K225" s="111"/>
      <c r="L225" s="112"/>
    </row>
    <row r="226" spans="1:12" s="113" customFormat="1" ht="25.2" hidden="1" customHeight="1">
      <c r="A226" s="108">
        <f>SUBTOTAL(103,$B$2:B226)*1</f>
        <v>156</v>
      </c>
      <c r="B226" s="109" t="s">
        <v>119</v>
      </c>
      <c r="C226" s="177" t="s">
        <v>606</v>
      </c>
      <c r="D226" s="108"/>
      <c r="E226" s="110" t="s">
        <v>1418</v>
      </c>
      <c r="F226" s="108"/>
      <c r="G226" s="102"/>
      <c r="H226" s="108" t="s">
        <v>34</v>
      </c>
      <c r="I226" s="104"/>
      <c r="J226" s="111" t="s">
        <v>6</v>
      </c>
      <c r="K226" s="111"/>
      <c r="L226" s="112" t="s">
        <v>510</v>
      </c>
    </row>
    <row r="227" spans="1:12" s="113" customFormat="1" ht="37.200000000000003" hidden="1" customHeight="1">
      <c r="A227" s="108">
        <f>SUBTOTAL(103,$B$2:B227)*1</f>
        <v>156</v>
      </c>
      <c r="B227" s="109" t="s">
        <v>119</v>
      </c>
      <c r="C227" s="162" t="s">
        <v>1598</v>
      </c>
      <c r="D227" s="108"/>
      <c r="E227" s="110" t="s">
        <v>7</v>
      </c>
      <c r="F227" s="108"/>
      <c r="G227" s="102"/>
      <c r="H227" s="108" t="s">
        <v>34</v>
      </c>
      <c r="I227" s="104" t="str">
        <f t="shared" ref="I227" si="15">IF(G227="","",IF(G227=E227,"Pass","Fail"))</f>
        <v/>
      </c>
      <c r="J227" s="111" t="s">
        <v>6</v>
      </c>
      <c r="K227" s="111"/>
      <c r="L227" s="112" t="s">
        <v>1602</v>
      </c>
    </row>
    <row r="228" spans="1:12" s="113" customFormat="1" ht="25.2" hidden="1" customHeight="1">
      <c r="A228" s="108">
        <f>SUBTOTAL(103,$B$2:B228)*1</f>
        <v>156</v>
      </c>
      <c r="B228" s="109" t="s">
        <v>120</v>
      </c>
      <c r="C228" s="169" t="s">
        <v>406</v>
      </c>
      <c r="D228" s="108"/>
      <c r="E228" s="110" t="s">
        <v>7</v>
      </c>
      <c r="F228" s="108"/>
      <c r="G228" s="102"/>
      <c r="H228" s="108" t="s">
        <v>34</v>
      </c>
      <c r="I228" s="104" t="str">
        <f t="shared" si="14"/>
        <v/>
      </c>
      <c r="J228" s="111" t="s">
        <v>13</v>
      </c>
      <c r="K228" s="111"/>
      <c r="L228" s="112"/>
    </row>
    <row r="229" spans="1:12" s="113" customFormat="1" ht="25.2" customHeight="1">
      <c r="A229" s="108">
        <f>SUBTOTAL(103,$B$2:B229)*1</f>
        <v>157</v>
      </c>
      <c r="B229" s="109" t="s">
        <v>14</v>
      </c>
      <c r="C229" s="177" t="s">
        <v>407</v>
      </c>
      <c r="D229" s="108"/>
      <c r="E229" s="110" t="s">
        <v>7</v>
      </c>
      <c r="F229" s="108"/>
      <c r="G229" s="102" t="s">
        <v>1666</v>
      </c>
      <c r="H229" s="108" t="s">
        <v>34</v>
      </c>
      <c r="I229" s="104" t="str">
        <f t="shared" si="14"/>
        <v>Pass</v>
      </c>
      <c r="J229" s="111" t="s">
        <v>6</v>
      </c>
      <c r="K229" s="111"/>
      <c r="L229" s="112" t="s">
        <v>1275</v>
      </c>
    </row>
    <row r="230" spans="1:12" ht="25.2" customHeight="1">
      <c r="A230" s="108">
        <f>SUBTOTAL(103,$B$2:B230)*1</f>
        <v>158</v>
      </c>
      <c r="B230" s="109" t="s">
        <v>14</v>
      </c>
      <c r="C230" s="177" t="s">
        <v>1278</v>
      </c>
      <c r="D230" s="108"/>
      <c r="E230" s="110" t="s">
        <v>7</v>
      </c>
      <c r="F230" s="108"/>
      <c r="G230" s="102" t="s">
        <v>1666</v>
      </c>
      <c r="H230" s="108" t="s">
        <v>34</v>
      </c>
      <c r="I230" s="104" t="str">
        <f>IF(G230="","",IF(G230=E230,"Pass","Fail"))</f>
        <v>Pass</v>
      </c>
      <c r="J230" s="111" t="s">
        <v>6</v>
      </c>
      <c r="K230" s="111"/>
      <c r="L230" s="112"/>
    </row>
    <row r="231" spans="1:12" s="113" customFormat="1" ht="25.2" customHeight="1">
      <c r="A231" s="108">
        <f>SUBTOTAL(103,$B$2:B231)*1</f>
        <v>159</v>
      </c>
      <c r="B231" s="109" t="s">
        <v>14</v>
      </c>
      <c r="C231" s="177" t="s">
        <v>11</v>
      </c>
      <c r="D231" s="108"/>
      <c r="E231" s="110" t="s">
        <v>16</v>
      </c>
      <c r="F231" s="108"/>
      <c r="G231" s="102" t="s">
        <v>1666</v>
      </c>
      <c r="H231" s="108" t="s">
        <v>34</v>
      </c>
      <c r="I231" s="104" t="str">
        <f t="shared" si="14"/>
        <v>Pass</v>
      </c>
      <c r="J231" s="111" t="s">
        <v>6</v>
      </c>
      <c r="K231" s="111"/>
      <c r="L231" s="112"/>
    </row>
    <row r="232" spans="1:12" s="113" customFormat="1" ht="25.2" customHeight="1">
      <c r="A232" s="108">
        <f>SUBTOTAL(103,$B$2:B232)*1</f>
        <v>160</v>
      </c>
      <c r="B232" s="109" t="s">
        <v>14</v>
      </c>
      <c r="C232" s="177" t="s">
        <v>207</v>
      </c>
      <c r="D232" s="108"/>
      <c r="E232" s="110" t="s">
        <v>1691</v>
      </c>
      <c r="F232" s="108"/>
      <c r="G232" s="102" t="s">
        <v>1690</v>
      </c>
      <c r="H232" s="108" t="s">
        <v>34</v>
      </c>
      <c r="I232" s="104" t="str">
        <f t="shared" si="14"/>
        <v>Pass</v>
      </c>
      <c r="J232" s="111" t="s">
        <v>148</v>
      </c>
      <c r="K232" s="111"/>
      <c r="L232" s="112" t="s">
        <v>689</v>
      </c>
    </row>
    <row r="233" spans="1:12" s="113" customFormat="1" ht="25.2" customHeight="1">
      <c r="A233" s="108">
        <f>SUBTOTAL(103,$B$2:B233)*1</f>
        <v>161</v>
      </c>
      <c r="B233" s="109" t="s">
        <v>14</v>
      </c>
      <c r="C233" s="177" t="s">
        <v>956</v>
      </c>
      <c r="D233" s="108"/>
      <c r="E233" s="110" t="s">
        <v>408</v>
      </c>
      <c r="F233" s="108"/>
      <c r="G233" s="102">
        <v>1964.94</v>
      </c>
      <c r="H233" s="108" t="s">
        <v>127</v>
      </c>
      <c r="I233" s="104" t="s">
        <v>1728</v>
      </c>
      <c r="J233" s="111" t="s">
        <v>6</v>
      </c>
      <c r="K233" s="111"/>
      <c r="L233" s="112" t="s">
        <v>15</v>
      </c>
    </row>
    <row r="234" spans="1:12" s="113" customFormat="1" ht="25.2" customHeight="1">
      <c r="A234" s="108">
        <f>SUBTOTAL(103,$B$2:B234)*1</f>
        <v>162</v>
      </c>
      <c r="B234" s="109" t="s">
        <v>14</v>
      </c>
      <c r="C234" s="177" t="s">
        <v>1157</v>
      </c>
      <c r="D234" s="108"/>
      <c r="E234" s="110" t="s">
        <v>1705</v>
      </c>
      <c r="F234" s="108"/>
      <c r="G234" s="102" t="s">
        <v>1704</v>
      </c>
      <c r="H234" s="108" t="s">
        <v>34</v>
      </c>
      <c r="I234" s="104" t="str">
        <f t="shared" ref="I234:I242" si="16">IF(G234="","",IF(G234=E234,"Pass","Fail"))</f>
        <v>Pass</v>
      </c>
      <c r="J234" s="111" t="s">
        <v>6</v>
      </c>
      <c r="K234" s="111"/>
      <c r="L234" s="112" t="s">
        <v>1159</v>
      </c>
    </row>
    <row r="235" spans="1:12" s="113" customFormat="1" ht="25.2" customHeight="1">
      <c r="A235" s="108">
        <f>SUBTOTAL(103,$B$2:B235)*1</f>
        <v>163</v>
      </c>
      <c r="B235" s="109" t="s">
        <v>14</v>
      </c>
      <c r="C235" s="177" t="s">
        <v>957</v>
      </c>
      <c r="D235" s="108"/>
      <c r="E235" s="110">
        <v>9000</v>
      </c>
      <c r="F235" s="108"/>
      <c r="G235" s="102">
        <v>9000</v>
      </c>
      <c r="H235" s="108" t="s">
        <v>127</v>
      </c>
      <c r="I235" s="104" t="str">
        <f t="shared" si="16"/>
        <v>Pass</v>
      </c>
      <c r="J235" s="111" t="s">
        <v>6</v>
      </c>
      <c r="K235" s="111"/>
      <c r="L235" s="112"/>
    </row>
    <row r="236" spans="1:12" s="113" customFormat="1" ht="25.2" customHeight="1">
      <c r="A236" s="108">
        <f>SUBTOTAL(103,$B$2:B236)*1</f>
        <v>164</v>
      </c>
      <c r="B236" s="109" t="s">
        <v>14</v>
      </c>
      <c r="C236" s="177" t="s">
        <v>179</v>
      </c>
      <c r="D236" s="108"/>
      <c r="E236" s="110">
        <v>400</v>
      </c>
      <c r="F236" s="108"/>
      <c r="G236" s="102">
        <v>400</v>
      </c>
      <c r="H236" s="108" t="s">
        <v>127</v>
      </c>
      <c r="I236" s="104" t="str">
        <f t="shared" si="16"/>
        <v>Pass</v>
      </c>
      <c r="J236" s="111" t="s">
        <v>6</v>
      </c>
      <c r="K236" s="111"/>
      <c r="L236" s="112"/>
    </row>
    <row r="237" spans="1:12" s="113" customFormat="1" ht="25.2" customHeight="1">
      <c r="A237" s="108">
        <f>SUBTOTAL(103,$B$2:B237)*1</f>
        <v>165</v>
      </c>
      <c r="B237" s="109" t="s">
        <v>14</v>
      </c>
      <c r="C237" s="177" t="s">
        <v>180</v>
      </c>
      <c r="D237" s="108"/>
      <c r="E237" s="110">
        <v>150</v>
      </c>
      <c r="F237" s="108"/>
      <c r="G237" s="102">
        <v>150</v>
      </c>
      <c r="H237" s="108" t="s">
        <v>135</v>
      </c>
      <c r="I237" s="104" t="str">
        <f t="shared" si="16"/>
        <v>Pass</v>
      </c>
      <c r="J237" s="111" t="s">
        <v>6</v>
      </c>
      <c r="K237" s="111"/>
      <c r="L237" s="112"/>
    </row>
    <row r="238" spans="1:12" s="113" customFormat="1" ht="25.2" customHeight="1">
      <c r="A238" s="108">
        <f>SUBTOTAL(103,$B$2:B238)*1</f>
        <v>166</v>
      </c>
      <c r="B238" s="109" t="s">
        <v>14</v>
      </c>
      <c r="C238" s="177" t="s">
        <v>181</v>
      </c>
      <c r="D238" s="108"/>
      <c r="E238" s="110">
        <v>50</v>
      </c>
      <c r="F238" s="108"/>
      <c r="G238" s="102">
        <v>50</v>
      </c>
      <c r="H238" s="108" t="s">
        <v>127</v>
      </c>
      <c r="I238" s="104" t="str">
        <f>IF(G238="","",IF(G238=E238,"Pass","Fail"))</f>
        <v>Pass</v>
      </c>
      <c r="J238" s="111" t="s">
        <v>6</v>
      </c>
      <c r="K238" s="111"/>
      <c r="L238" s="112"/>
    </row>
    <row r="239" spans="1:12" s="113" customFormat="1" ht="25.2" customHeight="1">
      <c r="A239" s="108">
        <f>SUBTOTAL(103,$B$2:B239)*1</f>
        <v>167</v>
      </c>
      <c r="B239" s="109" t="s">
        <v>14</v>
      </c>
      <c r="C239" s="177" t="s">
        <v>182</v>
      </c>
      <c r="D239" s="108"/>
      <c r="E239" s="110">
        <v>30</v>
      </c>
      <c r="F239" s="108"/>
      <c r="G239" s="102">
        <v>30</v>
      </c>
      <c r="H239" s="108" t="s">
        <v>135</v>
      </c>
      <c r="I239" s="104" t="str">
        <f>IF(G239="","",IF(G239=E239,"Pass","Fail"))</f>
        <v>Pass</v>
      </c>
      <c r="J239" s="111" t="s">
        <v>6</v>
      </c>
      <c r="K239" s="111"/>
      <c r="L239" s="112"/>
    </row>
    <row r="240" spans="1:12" s="113" customFormat="1" ht="25.2" customHeight="1">
      <c r="A240" s="108">
        <f>SUBTOTAL(103,$B$2:B240)*1</f>
        <v>168</v>
      </c>
      <c r="B240" s="109" t="s">
        <v>14</v>
      </c>
      <c r="C240" s="177" t="s">
        <v>811</v>
      </c>
      <c r="D240" s="108"/>
      <c r="E240" s="110">
        <v>1</v>
      </c>
      <c r="F240" s="108"/>
      <c r="G240" s="102">
        <v>1</v>
      </c>
      <c r="H240" s="108" t="s">
        <v>34</v>
      </c>
      <c r="I240" s="104" t="str">
        <f t="shared" si="16"/>
        <v>Pass</v>
      </c>
      <c r="J240" s="111" t="s">
        <v>6</v>
      </c>
      <c r="K240" s="111"/>
      <c r="L240" s="112" t="s">
        <v>871</v>
      </c>
    </row>
    <row r="241" spans="1:12" s="113" customFormat="1" ht="25.2" customHeight="1">
      <c r="A241" s="108">
        <f>SUBTOTAL(103,$B$2:B241)*1</f>
        <v>169</v>
      </c>
      <c r="B241" s="109" t="s">
        <v>14</v>
      </c>
      <c r="C241" s="177" t="s">
        <v>149</v>
      </c>
      <c r="D241" s="108"/>
      <c r="E241" s="110">
        <v>0.05</v>
      </c>
      <c r="F241" s="108"/>
      <c r="G241" s="102">
        <v>0.05</v>
      </c>
      <c r="H241" s="108" t="s">
        <v>127</v>
      </c>
      <c r="I241" s="104" t="str">
        <f t="shared" si="16"/>
        <v>Pass</v>
      </c>
      <c r="J241" s="111" t="s">
        <v>148</v>
      </c>
      <c r="K241" s="111"/>
      <c r="L241" s="112" t="s">
        <v>690</v>
      </c>
    </row>
    <row r="242" spans="1:12" s="113" customFormat="1" ht="25.2" customHeight="1">
      <c r="A242" s="108">
        <f>SUBTOTAL(103,$B$2:B242)*1</f>
        <v>170</v>
      </c>
      <c r="B242" s="109" t="s">
        <v>14</v>
      </c>
      <c r="C242" s="177" t="s">
        <v>183</v>
      </c>
      <c r="D242" s="108"/>
      <c r="E242" s="110">
        <v>0</v>
      </c>
      <c r="F242" s="108"/>
      <c r="G242" s="102">
        <v>0</v>
      </c>
      <c r="H242" s="108" t="s">
        <v>34</v>
      </c>
      <c r="I242" s="104" t="str">
        <f t="shared" si="16"/>
        <v>Pass</v>
      </c>
      <c r="J242" s="111" t="s">
        <v>6</v>
      </c>
      <c r="K242" s="111"/>
      <c r="L242" s="112"/>
    </row>
    <row r="243" spans="1:12" s="113" customFormat="1" ht="25.2" customHeight="1">
      <c r="A243" s="108">
        <f>SUBTOTAL(103,$B$2:B243)*1</f>
        <v>171</v>
      </c>
      <c r="B243" s="109" t="s">
        <v>14</v>
      </c>
      <c r="C243" s="177" t="s">
        <v>116</v>
      </c>
      <c r="D243" s="164">
        <v>-0.01</v>
      </c>
      <c r="E243" s="110"/>
      <c r="F243" s="164">
        <v>0.01</v>
      </c>
      <c r="G243" s="102">
        <v>2.0000000000000001E-4</v>
      </c>
      <c r="H243" s="108" t="s">
        <v>34</v>
      </c>
      <c r="I243" s="104" t="str">
        <f>IF(G243="","",IF(AND(G243&gt;=D243,G243&lt;=F243),"Pass","Fail"))</f>
        <v>Pass</v>
      </c>
      <c r="J243" s="111" t="s">
        <v>13</v>
      </c>
      <c r="K243" s="121" t="s">
        <v>993</v>
      </c>
      <c r="L243" s="112"/>
    </row>
    <row r="244" spans="1:12" s="113" customFormat="1" ht="25.2" customHeight="1">
      <c r="A244" s="108">
        <f>SUBTOTAL(103,$B$2:B244)*1</f>
        <v>172</v>
      </c>
      <c r="B244" s="109" t="s">
        <v>14</v>
      </c>
      <c r="C244" s="177" t="s">
        <v>117</v>
      </c>
      <c r="D244" s="164">
        <v>-0.01</v>
      </c>
      <c r="E244" s="110"/>
      <c r="F244" s="164">
        <v>0.01</v>
      </c>
      <c r="G244" s="165">
        <v>2.0000000000000001E-4</v>
      </c>
      <c r="H244" s="108" t="s">
        <v>34</v>
      </c>
      <c r="I244" s="104" t="str">
        <f>IF(G244="","",IF(AND(G244&gt;=D244,G244&lt;=F244),"Pass","Fail"))</f>
        <v>Pass</v>
      </c>
      <c r="J244" s="111" t="s">
        <v>13</v>
      </c>
      <c r="K244" s="121" t="s">
        <v>993</v>
      </c>
      <c r="L244" s="112"/>
    </row>
    <row r="245" spans="1:12" s="113" customFormat="1" ht="25.2" customHeight="1">
      <c r="A245" s="108">
        <f>SUBTOTAL(103,$B$2:B245)*1</f>
        <v>173</v>
      </c>
      <c r="B245" s="109" t="s">
        <v>14</v>
      </c>
      <c r="C245" s="177" t="s">
        <v>409</v>
      </c>
      <c r="D245" s="108"/>
      <c r="E245" s="110"/>
      <c r="F245" s="108">
        <v>1.5E-3</v>
      </c>
      <c r="G245" s="166">
        <v>8.0000000000000007E-5</v>
      </c>
      <c r="H245" s="108" t="s">
        <v>34</v>
      </c>
      <c r="I245" s="104" t="str">
        <f>IF(G245="","",IF(AND(G245&lt;=F245),"Pass","Fail"))</f>
        <v>Pass</v>
      </c>
      <c r="J245" s="111" t="s">
        <v>13</v>
      </c>
      <c r="K245" s="121" t="s">
        <v>993</v>
      </c>
      <c r="L245" s="112"/>
    </row>
    <row r="246" spans="1:12" s="113" customFormat="1" ht="25.2" customHeight="1">
      <c r="A246" s="108">
        <f>SUBTOTAL(103,$B$2:B246)*1</f>
        <v>174</v>
      </c>
      <c r="B246" s="109" t="s">
        <v>14</v>
      </c>
      <c r="C246" s="177" t="s">
        <v>410</v>
      </c>
      <c r="D246" s="108"/>
      <c r="E246" s="110"/>
      <c r="F246" s="108">
        <v>1.5E-3</v>
      </c>
      <c r="G246" s="166">
        <v>5.0000000000000002E-5</v>
      </c>
      <c r="H246" s="108" t="s">
        <v>34</v>
      </c>
      <c r="I246" s="104" t="str">
        <f>IF(G246="","",IF(AND(G246&lt;=F246),"Pass","Fail"))</f>
        <v>Pass</v>
      </c>
      <c r="J246" s="111" t="s">
        <v>13</v>
      </c>
      <c r="K246" s="121" t="s">
        <v>993</v>
      </c>
      <c r="L246" s="112"/>
    </row>
    <row r="247" spans="1:12" s="113" customFormat="1" ht="25.2" hidden="1" customHeight="1">
      <c r="A247" s="108">
        <f>SUBTOTAL(103,$B$2:B247)*1</f>
        <v>174</v>
      </c>
      <c r="B247" s="109" t="s">
        <v>915</v>
      </c>
      <c r="C247" s="177" t="s">
        <v>916</v>
      </c>
      <c r="D247" s="108">
        <v>18</v>
      </c>
      <c r="E247" s="110"/>
      <c r="F247" s="108"/>
      <c r="G247" s="130"/>
      <c r="H247" s="167" t="s">
        <v>917</v>
      </c>
      <c r="I247" s="104" t="str">
        <f>IF(G247="","",IF(G247&gt;=D247,"Pass","Fail"))</f>
        <v/>
      </c>
      <c r="J247" s="111" t="s">
        <v>13</v>
      </c>
      <c r="K247" s="111"/>
      <c r="L247" s="112"/>
    </row>
    <row r="248" spans="1:12" s="113" customFormat="1" ht="25.2" hidden="1" customHeight="1">
      <c r="A248" s="108">
        <f>SUBTOTAL(103,$B$2:B248)*1</f>
        <v>174</v>
      </c>
      <c r="B248" s="109" t="s">
        <v>915</v>
      </c>
      <c r="C248" s="177" t="s">
        <v>918</v>
      </c>
      <c r="D248" s="108">
        <v>15</v>
      </c>
      <c r="E248" s="110"/>
      <c r="F248" s="108"/>
      <c r="G248" s="130"/>
      <c r="H248" s="167" t="s">
        <v>917</v>
      </c>
      <c r="I248" s="104" t="str">
        <f>IF(G248="","",IF(G248&gt;=D248,"Pass","Fail"))</f>
        <v/>
      </c>
      <c r="J248" s="111" t="s">
        <v>13</v>
      </c>
      <c r="K248" s="111"/>
      <c r="L248" s="112"/>
    </row>
    <row r="249" spans="1:12" s="113" customFormat="1" ht="25.2" customHeight="1">
      <c r="A249" s="108">
        <f>SUBTOTAL(103,$B$2:B249)*1</f>
        <v>175</v>
      </c>
      <c r="B249" s="109" t="s">
        <v>805</v>
      </c>
      <c r="C249" s="177" t="s">
        <v>775</v>
      </c>
      <c r="D249" s="108"/>
      <c r="E249" s="212"/>
      <c r="F249" s="108">
        <v>50</v>
      </c>
      <c r="G249" s="130">
        <v>30.17</v>
      </c>
      <c r="H249" s="108" t="s">
        <v>127</v>
      </c>
      <c r="I249" s="104" t="str">
        <f>IF(G249="","",IF(AND(G249&lt;=F249),"Pass","Fail"))</f>
        <v>Pass</v>
      </c>
      <c r="J249" s="111" t="s">
        <v>13</v>
      </c>
      <c r="K249" s="121" t="s">
        <v>993</v>
      </c>
      <c r="L249" s="112" t="s">
        <v>778</v>
      </c>
    </row>
    <row r="250" spans="1:12" s="113" customFormat="1" ht="25.2" customHeight="1">
      <c r="A250" s="108">
        <f>SUBTOTAL(103,$B$2:B250)*1</f>
        <v>176</v>
      </c>
      <c r="B250" s="109" t="s">
        <v>805</v>
      </c>
      <c r="C250" s="177" t="s">
        <v>776</v>
      </c>
      <c r="D250" s="108"/>
      <c r="E250" s="212"/>
      <c r="F250" s="108">
        <v>50</v>
      </c>
      <c r="G250" s="130">
        <v>10.38</v>
      </c>
      <c r="H250" s="108" t="s">
        <v>127</v>
      </c>
      <c r="I250" s="104" t="str">
        <f>IF(G250="","",IF(AND(G250&lt;=F250),"Pass","Fail"))</f>
        <v>Pass</v>
      </c>
      <c r="J250" s="111" t="s">
        <v>13</v>
      </c>
      <c r="K250" s="121" t="s">
        <v>993</v>
      </c>
      <c r="L250" s="112" t="s">
        <v>778</v>
      </c>
    </row>
    <row r="251" spans="1:12" s="113" customFormat="1" ht="25.2" customHeight="1">
      <c r="A251" s="108">
        <f>SUBTOTAL(103,$B$2:B251)*1</f>
        <v>177</v>
      </c>
      <c r="B251" s="109" t="s">
        <v>115</v>
      </c>
      <c r="C251" s="177" t="s">
        <v>208</v>
      </c>
      <c r="D251" s="108"/>
      <c r="E251" s="110" t="s">
        <v>57</v>
      </c>
      <c r="F251" s="108"/>
      <c r="G251" s="102" t="s">
        <v>1715</v>
      </c>
      <c r="H251" s="108" t="s">
        <v>34</v>
      </c>
      <c r="I251" s="104" t="str">
        <f>IF(G251="","",IF(G251=E251,"Pass","Fail"))</f>
        <v>Pass</v>
      </c>
      <c r="J251" s="111" t="s">
        <v>6</v>
      </c>
      <c r="K251" s="111"/>
      <c r="L251" s="112"/>
    </row>
    <row r="252" spans="1:12" s="113" customFormat="1" ht="25.2" customHeight="1">
      <c r="A252" s="108">
        <f>SUBTOTAL(103,$B$2:B252)*1</f>
        <v>178</v>
      </c>
      <c r="B252" s="109" t="s">
        <v>115</v>
      </c>
      <c r="C252" s="177" t="s">
        <v>209</v>
      </c>
      <c r="D252" s="108"/>
      <c r="E252" s="110" t="s">
        <v>1714</v>
      </c>
      <c r="F252" s="108"/>
      <c r="G252" s="102" t="s">
        <v>1714</v>
      </c>
      <c r="H252" s="108" t="s">
        <v>131</v>
      </c>
      <c r="I252" s="104" t="str">
        <f>IF(G252="","",IF(G252=E252,"Pass","Fail"))</f>
        <v>Pass</v>
      </c>
      <c r="J252" s="111" t="s">
        <v>6</v>
      </c>
      <c r="K252" s="111"/>
      <c r="L252" s="112"/>
    </row>
    <row r="253" spans="1:12" s="113" customFormat="1" ht="37.200000000000003">
      <c r="A253" s="108">
        <f>SUBTOTAL(103,$B$2:B253)*1</f>
        <v>179</v>
      </c>
      <c r="B253" s="109" t="s">
        <v>169</v>
      </c>
      <c r="C253" s="192" t="s">
        <v>1280</v>
      </c>
      <c r="D253" s="108"/>
      <c r="E253" s="110" t="s">
        <v>7</v>
      </c>
      <c r="F253" s="108"/>
      <c r="G253" s="102" t="s">
        <v>7</v>
      </c>
      <c r="H253" s="108" t="s">
        <v>34</v>
      </c>
      <c r="I253" s="104" t="str">
        <f>IF(G253="","",IF(G253=E253,"Pass","Fail"))</f>
        <v>Pass</v>
      </c>
      <c r="J253" s="111" t="s">
        <v>6</v>
      </c>
      <c r="K253" s="111"/>
      <c r="L253" s="112" t="s">
        <v>1279</v>
      </c>
    </row>
    <row r="254" spans="1:12" s="113" customFormat="1" ht="25.2" customHeight="1">
      <c r="A254" s="108">
        <f>SUBTOTAL(103,$B$2:B254)*1</f>
        <v>180</v>
      </c>
      <c r="B254" s="109" t="s">
        <v>169</v>
      </c>
      <c r="C254" s="177" t="s">
        <v>743</v>
      </c>
      <c r="D254" s="108"/>
      <c r="E254" s="110" t="s">
        <v>744</v>
      </c>
      <c r="F254" s="108"/>
      <c r="G254" s="102" t="s">
        <v>1725</v>
      </c>
      <c r="H254" s="108" t="s">
        <v>34</v>
      </c>
      <c r="I254" s="104" t="str">
        <f>IF(G254="","",IF(G254=E254,"Pass","Fail"))</f>
        <v>Pass</v>
      </c>
      <c r="J254" s="111" t="s">
        <v>6</v>
      </c>
      <c r="K254" s="111"/>
      <c r="L254" s="112" t="s">
        <v>801</v>
      </c>
    </row>
    <row r="255" spans="1:12" s="113" customFormat="1" ht="25.2" customHeight="1">
      <c r="A255" s="108">
        <f>SUBTOTAL(103,$B$2:B255)*1</f>
        <v>181</v>
      </c>
      <c r="B255" s="109" t="s">
        <v>169</v>
      </c>
      <c r="C255" s="191" t="s">
        <v>746</v>
      </c>
      <c r="D255" s="108"/>
      <c r="E255" s="110" t="s">
        <v>34</v>
      </c>
      <c r="F255" s="108"/>
      <c r="G255" s="120">
        <v>288.065</v>
      </c>
      <c r="H255" s="108" t="s">
        <v>747</v>
      </c>
      <c r="I255" s="104" t="s">
        <v>1665</v>
      </c>
      <c r="J255" s="111" t="s">
        <v>6</v>
      </c>
      <c r="K255" s="111"/>
      <c r="L255" s="112" t="s">
        <v>802</v>
      </c>
    </row>
    <row r="256" spans="1:12" s="113" customFormat="1" ht="25.2" customHeight="1">
      <c r="A256" s="108">
        <f>SUBTOTAL(103,$B$2:B256)*1</f>
        <v>182</v>
      </c>
      <c r="B256" s="109" t="s">
        <v>169</v>
      </c>
      <c r="C256" s="191" t="s">
        <v>773</v>
      </c>
      <c r="D256" s="108"/>
      <c r="E256" s="110" t="s">
        <v>34</v>
      </c>
      <c r="F256" s="108"/>
      <c r="G256" s="120">
        <v>288.20999999999998</v>
      </c>
      <c r="H256" s="108" t="s">
        <v>747</v>
      </c>
      <c r="I256" s="104" t="s">
        <v>1665</v>
      </c>
      <c r="J256" s="111" t="s">
        <v>6</v>
      </c>
      <c r="K256" s="111"/>
      <c r="L256" s="112" t="s">
        <v>802</v>
      </c>
    </row>
    <row r="257" spans="1:12" s="113" customFormat="1" ht="25.2" customHeight="1">
      <c r="A257" s="108">
        <f>SUBTOTAL(103,$B$2:B257)*1</f>
        <v>183</v>
      </c>
      <c r="B257" s="109" t="s">
        <v>169</v>
      </c>
      <c r="C257" s="191" t="s">
        <v>759</v>
      </c>
      <c r="D257" s="108"/>
      <c r="E257" s="110" t="s">
        <v>34</v>
      </c>
      <c r="F257" s="108"/>
      <c r="G257" s="120">
        <v>88.067999999999998</v>
      </c>
      <c r="H257" s="108" t="s">
        <v>747</v>
      </c>
      <c r="I257" s="104" t="s">
        <v>1665</v>
      </c>
      <c r="J257" s="111" t="s">
        <v>6</v>
      </c>
      <c r="K257" s="111"/>
      <c r="L257" s="112" t="s">
        <v>802</v>
      </c>
    </row>
    <row r="258" spans="1:12" s="113" customFormat="1" ht="25.2" customHeight="1">
      <c r="A258" s="108">
        <f>SUBTOTAL(103,$B$2:B258)*1</f>
        <v>184</v>
      </c>
      <c r="B258" s="109" t="s">
        <v>169</v>
      </c>
      <c r="C258" s="191" t="s">
        <v>1654</v>
      </c>
      <c r="D258" s="108"/>
      <c r="E258" s="110" t="s">
        <v>34</v>
      </c>
      <c r="F258" s="108"/>
      <c r="G258" s="120">
        <v>88.1</v>
      </c>
      <c r="H258" s="108" t="s">
        <v>747</v>
      </c>
      <c r="I258" s="104" t="s">
        <v>1665</v>
      </c>
      <c r="J258" s="111" t="s">
        <v>6</v>
      </c>
      <c r="K258" s="111"/>
      <c r="L258" s="112" t="s">
        <v>802</v>
      </c>
    </row>
    <row r="259" spans="1:12" s="113" customFormat="1" ht="37.200000000000003">
      <c r="A259" s="108">
        <f>SUBTOTAL(103,$B$2:B259)*1</f>
        <v>185</v>
      </c>
      <c r="B259" s="109" t="s">
        <v>169</v>
      </c>
      <c r="C259" s="191" t="s">
        <v>1077</v>
      </c>
      <c r="D259" s="108"/>
      <c r="E259" s="110" t="s">
        <v>7</v>
      </c>
      <c r="F259" s="108"/>
      <c r="G259" s="102" t="s">
        <v>7</v>
      </c>
      <c r="H259" s="108" t="s">
        <v>34</v>
      </c>
      <c r="I259" s="104" t="str">
        <f t="shared" ref="I259:I267" si="17">IF(G259="","",IF(G259=E259,"Pass","Fail"))</f>
        <v>Pass</v>
      </c>
      <c r="J259" s="111" t="s">
        <v>6</v>
      </c>
      <c r="K259" s="111"/>
      <c r="L259" s="112" t="s">
        <v>1078</v>
      </c>
    </row>
    <row r="260" spans="1:12" s="113" customFormat="1" ht="25.2" customHeight="1">
      <c r="A260" s="108">
        <f>SUBTOTAL(103,$B$2:B260)*1</f>
        <v>186</v>
      </c>
      <c r="B260" s="109" t="s">
        <v>169</v>
      </c>
      <c r="C260" s="177" t="s">
        <v>1076</v>
      </c>
      <c r="D260" s="108"/>
      <c r="E260" s="110" t="s">
        <v>7</v>
      </c>
      <c r="F260" s="108"/>
      <c r="G260" s="102" t="s">
        <v>7</v>
      </c>
      <c r="H260" s="108" t="s">
        <v>34</v>
      </c>
      <c r="I260" s="104" t="str">
        <f t="shared" si="17"/>
        <v>Pass</v>
      </c>
      <c r="J260" s="111" t="s">
        <v>6</v>
      </c>
      <c r="K260" s="111"/>
      <c r="L260" s="112" t="s">
        <v>511</v>
      </c>
    </row>
    <row r="261" spans="1:12" s="113" customFormat="1" ht="25.2" customHeight="1">
      <c r="A261" s="108">
        <f>SUBTOTAL(103,$B$2:B261)*1</f>
        <v>187</v>
      </c>
      <c r="B261" s="109" t="s">
        <v>169</v>
      </c>
      <c r="C261" s="169" t="s">
        <v>105</v>
      </c>
      <c r="D261" s="108"/>
      <c r="E261" s="110" t="s">
        <v>57</v>
      </c>
      <c r="F261" s="108"/>
      <c r="G261" s="102" t="s">
        <v>1756</v>
      </c>
      <c r="H261" s="108" t="s">
        <v>34</v>
      </c>
      <c r="I261" s="104" t="str">
        <f t="shared" si="17"/>
        <v>Pass</v>
      </c>
      <c r="J261" s="111" t="s">
        <v>6</v>
      </c>
      <c r="K261" s="111"/>
      <c r="L261" s="112"/>
    </row>
    <row r="262" spans="1:12" s="113" customFormat="1" ht="25.2" customHeight="1">
      <c r="A262" s="108">
        <f>SUBTOTAL(103,$B$2:B262)*1</f>
        <v>188</v>
      </c>
      <c r="B262" s="109" t="s">
        <v>169</v>
      </c>
      <c r="C262" s="169" t="s">
        <v>210</v>
      </c>
      <c r="D262" s="108"/>
      <c r="E262" s="110" t="s">
        <v>57</v>
      </c>
      <c r="F262" s="108"/>
      <c r="G262" s="102" t="s">
        <v>1756</v>
      </c>
      <c r="H262" s="108" t="s">
        <v>34</v>
      </c>
      <c r="I262" s="104" t="str">
        <f t="shared" si="17"/>
        <v>Pass</v>
      </c>
      <c r="J262" s="111" t="s">
        <v>6</v>
      </c>
      <c r="K262" s="111"/>
      <c r="L262" s="112"/>
    </row>
    <row r="263" spans="1:12" s="113" customFormat="1" ht="37.200000000000003">
      <c r="A263" s="108">
        <f>SUBTOTAL(103,$B$2:B263)*1</f>
        <v>189</v>
      </c>
      <c r="B263" s="109" t="s">
        <v>169</v>
      </c>
      <c r="C263" s="169" t="s">
        <v>1006</v>
      </c>
      <c r="D263" s="108"/>
      <c r="E263" s="110" t="s">
        <v>7</v>
      </c>
      <c r="F263" s="108"/>
      <c r="G263" s="102" t="s">
        <v>7</v>
      </c>
      <c r="H263" s="108" t="s">
        <v>34</v>
      </c>
      <c r="I263" s="104" t="str">
        <f t="shared" si="17"/>
        <v>Pass</v>
      </c>
      <c r="J263" s="111" t="s">
        <v>6</v>
      </c>
      <c r="K263" s="111"/>
      <c r="L263" s="112" t="s">
        <v>1149</v>
      </c>
    </row>
    <row r="264" spans="1:12" s="113" customFormat="1" ht="37.200000000000003" customHeight="1">
      <c r="A264" s="108">
        <f>SUBTOTAL(103,$B$2:B264)*1</f>
        <v>190</v>
      </c>
      <c r="B264" s="109" t="s">
        <v>169</v>
      </c>
      <c r="C264" s="169" t="s">
        <v>1333</v>
      </c>
      <c r="D264" s="108"/>
      <c r="E264" s="110" t="s">
        <v>7</v>
      </c>
      <c r="F264" s="108"/>
      <c r="G264" s="102" t="s">
        <v>7</v>
      </c>
      <c r="H264" s="108" t="s">
        <v>34</v>
      </c>
      <c r="I264" s="104" t="str">
        <f t="shared" si="17"/>
        <v>Pass</v>
      </c>
      <c r="J264" s="111" t="s">
        <v>6</v>
      </c>
      <c r="K264" s="111"/>
      <c r="L264" s="112"/>
    </row>
    <row r="265" spans="1:12" s="113" customFormat="1" ht="25.2" customHeight="1">
      <c r="A265" s="108">
        <f>SUBTOTAL(103,$B$2:B265)*1</f>
        <v>191</v>
      </c>
      <c r="B265" s="109" t="s">
        <v>169</v>
      </c>
      <c r="C265" s="169" t="s">
        <v>1336</v>
      </c>
      <c r="D265" s="108"/>
      <c r="E265" s="110" t="s">
        <v>7</v>
      </c>
      <c r="F265" s="108"/>
      <c r="G265" s="102" t="s">
        <v>7</v>
      </c>
      <c r="H265" s="108" t="s">
        <v>34</v>
      </c>
      <c r="I265" s="104" t="str">
        <f t="shared" si="17"/>
        <v>Pass</v>
      </c>
      <c r="J265" s="111" t="s">
        <v>6</v>
      </c>
      <c r="K265" s="111"/>
      <c r="L265" s="112"/>
    </row>
    <row r="266" spans="1:12" s="113" customFormat="1" ht="25.2" customHeight="1">
      <c r="A266" s="108">
        <f>SUBTOTAL(103,$B$2:B266)*1</f>
        <v>192</v>
      </c>
      <c r="B266" s="109" t="s">
        <v>169</v>
      </c>
      <c r="C266" s="169" t="s">
        <v>1338</v>
      </c>
      <c r="D266" s="108"/>
      <c r="E266" s="110" t="s">
        <v>7</v>
      </c>
      <c r="F266" s="108"/>
      <c r="G266" s="102" t="s">
        <v>7</v>
      </c>
      <c r="H266" s="108" t="s">
        <v>34</v>
      </c>
      <c r="I266" s="104" t="str">
        <f t="shared" si="17"/>
        <v>Pass</v>
      </c>
      <c r="J266" s="111" t="s">
        <v>6</v>
      </c>
      <c r="K266" s="111"/>
      <c r="L266" s="112"/>
    </row>
    <row r="267" spans="1:12" s="113" customFormat="1" ht="25.2" customHeight="1">
      <c r="A267" s="108">
        <f>SUBTOTAL(103,$B$2:B267)*1</f>
        <v>193</v>
      </c>
      <c r="B267" s="109" t="s">
        <v>169</v>
      </c>
      <c r="C267" s="177" t="s">
        <v>1337</v>
      </c>
      <c r="D267" s="108"/>
      <c r="E267" s="110" t="s">
        <v>7</v>
      </c>
      <c r="F267" s="108"/>
      <c r="G267" s="102" t="s">
        <v>7</v>
      </c>
      <c r="H267" s="108" t="s">
        <v>34</v>
      </c>
      <c r="I267" s="104" t="str">
        <f t="shared" si="17"/>
        <v>Pass</v>
      </c>
      <c r="J267" s="111" t="s">
        <v>6</v>
      </c>
      <c r="K267" s="111"/>
      <c r="L267" s="112"/>
    </row>
    <row r="268" spans="1:12" s="113" customFormat="1" ht="25.2" hidden="1" customHeight="1">
      <c r="A268" s="108">
        <f>SUBTOTAL(103,$B$2:B268)*1</f>
        <v>193</v>
      </c>
      <c r="B268" s="109" t="s">
        <v>1188</v>
      </c>
      <c r="C268" s="169" t="s">
        <v>1190</v>
      </c>
      <c r="D268" s="108"/>
      <c r="E268" s="110"/>
      <c r="F268" s="108">
        <v>0.5</v>
      </c>
      <c r="G268" s="102"/>
      <c r="H268" s="170" t="s">
        <v>1186</v>
      </c>
      <c r="I268" s="104" t="str">
        <f>IF(G268="","",IF(AND(G268&lt;=F268),"Pass","Fail"))</f>
        <v/>
      </c>
      <c r="J268" s="111" t="s">
        <v>6</v>
      </c>
      <c r="K268" s="111"/>
      <c r="L268" s="112" t="s">
        <v>1187</v>
      </c>
    </row>
    <row r="269" spans="1:12" s="113" customFormat="1" ht="25.2" hidden="1" customHeight="1">
      <c r="A269" s="108">
        <f>SUBTOTAL(103,$B$2:B269)*1</f>
        <v>193</v>
      </c>
      <c r="B269" s="109" t="s">
        <v>1188</v>
      </c>
      <c r="C269" s="169" t="s">
        <v>1213</v>
      </c>
      <c r="D269" s="108"/>
      <c r="E269" s="110"/>
      <c r="F269" s="108">
        <v>1</v>
      </c>
      <c r="G269" s="102"/>
      <c r="H269" s="170" t="s">
        <v>1186</v>
      </c>
      <c r="I269" s="104" t="str">
        <f t="shared" ref="I269:I283" si="18">IF(G269="","",IF(AND(G269&lt;=F269),"Pass","Fail"))</f>
        <v/>
      </c>
      <c r="J269" s="111" t="s">
        <v>6</v>
      </c>
      <c r="K269" s="111"/>
      <c r="L269" s="112" t="s">
        <v>1187</v>
      </c>
    </row>
    <row r="270" spans="1:12" s="113" customFormat="1" ht="25.2" hidden="1" customHeight="1">
      <c r="A270" s="108">
        <f>SUBTOTAL(103,$B$2:B270)*1</f>
        <v>193</v>
      </c>
      <c r="B270" s="109" t="s">
        <v>1188</v>
      </c>
      <c r="C270" s="169" t="s">
        <v>1215</v>
      </c>
      <c r="D270" s="108"/>
      <c r="E270" s="110"/>
      <c r="F270" s="108">
        <v>0.5</v>
      </c>
      <c r="G270" s="102"/>
      <c r="H270" s="170" t="s">
        <v>1186</v>
      </c>
      <c r="I270" s="104" t="str">
        <f t="shared" si="18"/>
        <v/>
      </c>
      <c r="J270" s="111" t="s">
        <v>6</v>
      </c>
      <c r="K270" s="111"/>
      <c r="L270" s="112" t="s">
        <v>1187</v>
      </c>
    </row>
    <row r="271" spans="1:12" s="113" customFormat="1" ht="25.2" hidden="1" customHeight="1">
      <c r="A271" s="108">
        <f>SUBTOTAL(103,$B$2:B271)*1</f>
        <v>193</v>
      </c>
      <c r="B271" s="109" t="s">
        <v>1188</v>
      </c>
      <c r="C271" s="169" t="s">
        <v>1222</v>
      </c>
      <c r="D271" s="108"/>
      <c r="E271" s="110"/>
      <c r="F271" s="108">
        <v>0.5</v>
      </c>
      <c r="G271" s="102"/>
      <c r="H271" s="170" t="s">
        <v>1186</v>
      </c>
      <c r="I271" s="104" t="str">
        <f t="shared" ref="I271" si="19">IF(G271="","",IF(AND(G271&lt;=F271),"Pass","Fail"))</f>
        <v/>
      </c>
      <c r="J271" s="111" t="s">
        <v>6</v>
      </c>
      <c r="K271" s="111"/>
      <c r="L271" s="112" t="s">
        <v>1187</v>
      </c>
    </row>
    <row r="272" spans="1:12" s="113" customFormat="1" ht="25.2" hidden="1" customHeight="1">
      <c r="A272" s="108">
        <f>SUBTOTAL(103,$B$2:B272)*1</f>
        <v>193</v>
      </c>
      <c r="B272" s="109" t="s">
        <v>1188</v>
      </c>
      <c r="C272" s="169" t="s">
        <v>1192</v>
      </c>
      <c r="D272" s="108"/>
      <c r="E272" s="110"/>
      <c r="F272" s="108">
        <v>0.5</v>
      </c>
      <c r="G272" s="102"/>
      <c r="H272" s="170" t="s">
        <v>1186</v>
      </c>
      <c r="I272" s="104" t="str">
        <f t="shared" si="18"/>
        <v/>
      </c>
      <c r="J272" s="111" t="s">
        <v>6</v>
      </c>
      <c r="K272" s="111"/>
      <c r="L272" s="112" t="s">
        <v>1187</v>
      </c>
    </row>
    <row r="273" spans="1:12" s="113" customFormat="1" ht="25.2" hidden="1" customHeight="1">
      <c r="A273" s="108">
        <f>SUBTOTAL(103,$B$2:B273)*1</f>
        <v>193</v>
      </c>
      <c r="B273" s="109" t="s">
        <v>1188</v>
      </c>
      <c r="C273" s="169" t="s">
        <v>1194</v>
      </c>
      <c r="D273" s="108"/>
      <c r="E273" s="110"/>
      <c r="F273" s="108">
        <v>1</v>
      </c>
      <c r="G273" s="102"/>
      <c r="H273" s="170" t="s">
        <v>1186</v>
      </c>
      <c r="I273" s="104" t="str">
        <f t="shared" si="18"/>
        <v/>
      </c>
      <c r="J273" s="111" t="s">
        <v>6</v>
      </c>
      <c r="K273" s="111"/>
      <c r="L273" s="112" t="s">
        <v>1187</v>
      </c>
    </row>
    <row r="274" spans="1:12" s="113" customFormat="1" ht="25.2" hidden="1" customHeight="1">
      <c r="A274" s="108">
        <f>SUBTOTAL(103,$B$2:B274)*1</f>
        <v>193</v>
      </c>
      <c r="B274" s="109" t="s">
        <v>1188</v>
      </c>
      <c r="C274" s="169" t="s">
        <v>1196</v>
      </c>
      <c r="D274" s="108"/>
      <c r="E274" s="110"/>
      <c r="F274" s="108">
        <v>0.5</v>
      </c>
      <c r="G274" s="102"/>
      <c r="H274" s="170" t="s">
        <v>1186</v>
      </c>
      <c r="I274" s="104" t="str">
        <f t="shared" si="18"/>
        <v/>
      </c>
      <c r="J274" s="111" t="s">
        <v>6</v>
      </c>
      <c r="K274" s="111"/>
      <c r="L274" s="112" t="s">
        <v>1187</v>
      </c>
    </row>
    <row r="275" spans="1:12" s="113" customFormat="1" ht="25.2" hidden="1" customHeight="1">
      <c r="A275" s="108">
        <f>SUBTOTAL(103,$B$2:B275)*1</f>
        <v>193</v>
      </c>
      <c r="B275" s="109" t="s">
        <v>1188</v>
      </c>
      <c r="C275" s="169" t="s">
        <v>1198</v>
      </c>
      <c r="D275" s="108"/>
      <c r="E275" s="110"/>
      <c r="F275" s="108">
        <v>0.5</v>
      </c>
      <c r="G275" s="102"/>
      <c r="H275" s="170" t="s">
        <v>1186</v>
      </c>
      <c r="I275" s="104" t="str">
        <f t="shared" si="18"/>
        <v/>
      </c>
      <c r="J275" s="111" t="s">
        <v>6</v>
      </c>
      <c r="K275" s="111"/>
      <c r="L275" s="112" t="s">
        <v>1187</v>
      </c>
    </row>
    <row r="276" spans="1:12" s="113" customFormat="1" ht="25.2" customHeight="1">
      <c r="A276" s="108">
        <f>SUBTOTAL(103,$B$2:B276)*1</f>
        <v>194</v>
      </c>
      <c r="B276" s="109" t="s">
        <v>1199</v>
      </c>
      <c r="C276" s="169" t="s">
        <v>1217</v>
      </c>
      <c r="D276" s="108"/>
      <c r="E276" s="110"/>
      <c r="F276" s="108">
        <v>0.5</v>
      </c>
      <c r="G276" s="130">
        <v>0.1</v>
      </c>
      <c r="H276" s="170" t="s">
        <v>1186</v>
      </c>
      <c r="I276" s="104" t="str">
        <f t="shared" si="18"/>
        <v>Pass</v>
      </c>
      <c r="J276" s="111" t="s">
        <v>6</v>
      </c>
      <c r="K276" s="111"/>
      <c r="L276" s="112" t="s">
        <v>1187</v>
      </c>
    </row>
    <row r="277" spans="1:12" s="113" customFormat="1" ht="25.2" customHeight="1">
      <c r="A277" s="108">
        <f>SUBTOTAL(103,$B$2:B277)*1</f>
        <v>195</v>
      </c>
      <c r="B277" s="109" t="s">
        <v>1199</v>
      </c>
      <c r="C277" s="169" t="s">
        <v>1211</v>
      </c>
      <c r="D277" s="108"/>
      <c r="E277" s="110"/>
      <c r="F277" s="108">
        <v>1</v>
      </c>
      <c r="G277" s="130">
        <v>0.4</v>
      </c>
      <c r="H277" s="170" t="s">
        <v>1186</v>
      </c>
      <c r="I277" s="104" t="str">
        <f t="shared" si="18"/>
        <v>Pass</v>
      </c>
      <c r="J277" s="111" t="s">
        <v>6</v>
      </c>
      <c r="K277" s="111"/>
      <c r="L277" s="112" t="s">
        <v>1187</v>
      </c>
    </row>
    <row r="278" spans="1:12" s="113" customFormat="1" ht="25.2" customHeight="1">
      <c r="A278" s="108">
        <f>SUBTOTAL(103,$B$2:B278)*1</f>
        <v>196</v>
      </c>
      <c r="B278" s="109" t="s">
        <v>1199</v>
      </c>
      <c r="C278" s="169" t="s">
        <v>1209</v>
      </c>
      <c r="D278" s="108"/>
      <c r="E278" s="110"/>
      <c r="F278" s="108">
        <v>0.5</v>
      </c>
      <c r="G278" s="130">
        <v>0.3</v>
      </c>
      <c r="H278" s="170" t="s">
        <v>1186</v>
      </c>
      <c r="I278" s="104" t="str">
        <f t="shared" si="18"/>
        <v>Pass</v>
      </c>
      <c r="J278" s="111" t="s">
        <v>6</v>
      </c>
      <c r="K278" s="111"/>
      <c r="L278" s="112" t="s">
        <v>1187</v>
      </c>
    </row>
    <row r="279" spans="1:12" s="113" customFormat="1" ht="25.2" customHeight="1">
      <c r="A279" s="108">
        <f>SUBTOTAL(103,$B$2:B279)*1</f>
        <v>197</v>
      </c>
      <c r="B279" s="109" t="s">
        <v>1199</v>
      </c>
      <c r="C279" s="169" t="s">
        <v>1220</v>
      </c>
      <c r="D279" s="108"/>
      <c r="E279" s="110"/>
      <c r="F279" s="108">
        <v>0.5</v>
      </c>
      <c r="G279" s="102">
        <v>0.3</v>
      </c>
      <c r="H279" s="170" t="s">
        <v>1186</v>
      </c>
      <c r="I279" s="104" t="str">
        <f t="shared" si="18"/>
        <v>Pass</v>
      </c>
      <c r="J279" s="111" t="s">
        <v>6</v>
      </c>
      <c r="K279" s="111"/>
      <c r="L279" s="112" t="s">
        <v>1187</v>
      </c>
    </row>
    <row r="280" spans="1:12" s="113" customFormat="1" ht="25.2" customHeight="1">
      <c r="A280" s="108">
        <f>SUBTOTAL(103,$B$2:B280)*1</f>
        <v>198</v>
      </c>
      <c r="B280" s="109" t="s">
        <v>1199</v>
      </c>
      <c r="C280" s="169" t="s">
        <v>1201</v>
      </c>
      <c r="D280" s="108"/>
      <c r="E280" s="110"/>
      <c r="F280" s="108">
        <v>0.5</v>
      </c>
      <c r="G280" s="102">
        <v>0.3</v>
      </c>
      <c r="H280" s="170" t="s">
        <v>1186</v>
      </c>
      <c r="I280" s="104" t="str">
        <f t="shared" si="18"/>
        <v>Pass</v>
      </c>
      <c r="J280" s="111" t="s">
        <v>6</v>
      </c>
      <c r="K280" s="111"/>
      <c r="L280" s="112" t="s">
        <v>1187</v>
      </c>
    </row>
    <row r="281" spans="1:12" s="113" customFormat="1" ht="25.2" customHeight="1">
      <c r="A281" s="108">
        <f>SUBTOTAL(103,$B$2:B281)*1</f>
        <v>199</v>
      </c>
      <c r="B281" s="109" t="s">
        <v>1199</v>
      </c>
      <c r="C281" s="169" t="s">
        <v>1203</v>
      </c>
      <c r="D281" s="108"/>
      <c r="E281" s="110"/>
      <c r="F281" s="108">
        <v>1</v>
      </c>
      <c r="G281" s="102">
        <v>0.7</v>
      </c>
      <c r="H281" s="170" t="s">
        <v>1186</v>
      </c>
      <c r="I281" s="104" t="str">
        <f t="shared" si="18"/>
        <v>Pass</v>
      </c>
      <c r="J281" s="111" t="s">
        <v>6</v>
      </c>
      <c r="K281" s="111"/>
      <c r="L281" s="112" t="s">
        <v>1187</v>
      </c>
    </row>
    <row r="282" spans="1:12" s="113" customFormat="1" ht="25.2" customHeight="1">
      <c r="A282" s="108">
        <f>SUBTOTAL(103,$B$2:B282)*1</f>
        <v>200</v>
      </c>
      <c r="B282" s="109" t="s">
        <v>1199</v>
      </c>
      <c r="C282" s="169" t="s">
        <v>1205</v>
      </c>
      <c r="D282" s="108"/>
      <c r="E282" s="110"/>
      <c r="F282" s="108">
        <v>0.5</v>
      </c>
      <c r="G282" s="102">
        <v>0.5</v>
      </c>
      <c r="H282" s="170" t="s">
        <v>1186</v>
      </c>
      <c r="I282" s="104" t="str">
        <f t="shared" si="18"/>
        <v>Pass</v>
      </c>
      <c r="J282" s="111" t="s">
        <v>6</v>
      </c>
      <c r="K282" s="111"/>
      <c r="L282" s="112" t="s">
        <v>1187</v>
      </c>
    </row>
    <row r="283" spans="1:12" s="113" customFormat="1" ht="25.2" customHeight="1">
      <c r="A283" s="108">
        <f>SUBTOTAL(103,$B$2:B283)*1</f>
        <v>201</v>
      </c>
      <c r="B283" s="109" t="s">
        <v>1199</v>
      </c>
      <c r="C283" s="169" t="s">
        <v>1207</v>
      </c>
      <c r="D283" s="108"/>
      <c r="E283" s="110"/>
      <c r="F283" s="108">
        <v>0.5</v>
      </c>
      <c r="G283" s="102">
        <v>0.2</v>
      </c>
      <c r="H283" s="170" t="s">
        <v>1186</v>
      </c>
      <c r="I283" s="104" t="str">
        <f t="shared" si="18"/>
        <v>Pass</v>
      </c>
      <c r="J283" s="111" t="s">
        <v>6</v>
      </c>
      <c r="K283" s="111"/>
      <c r="L283" s="112" t="s">
        <v>1187</v>
      </c>
    </row>
    <row r="284" spans="1:12" s="113" customFormat="1" ht="25.2" customHeight="1">
      <c r="A284" s="132">
        <f>SUBTOTAL(103,$B$2:B284)*1</f>
        <v>202</v>
      </c>
      <c r="B284" s="127" t="s">
        <v>727</v>
      </c>
      <c r="C284" s="162" t="s">
        <v>1769</v>
      </c>
      <c r="D284" s="132"/>
      <c r="E284" s="110" t="s">
        <v>728</v>
      </c>
      <c r="F284" s="132"/>
      <c r="G284" s="226" t="s">
        <v>1783</v>
      </c>
      <c r="H284" s="110" t="s">
        <v>34</v>
      </c>
      <c r="I284" s="149" t="s">
        <v>1782</v>
      </c>
      <c r="J284" s="111" t="s">
        <v>6</v>
      </c>
      <c r="K284" s="111"/>
      <c r="L284" s="112" t="s">
        <v>729</v>
      </c>
    </row>
    <row r="285" spans="1:12" s="113" customFormat="1" ht="25.2" customHeight="1">
      <c r="A285" s="132">
        <f>SUBTOTAL(103,$B$2:B285)*1</f>
        <v>203</v>
      </c>
      <c r="B285" s="127" t="s">
        <v>727</v>
      </c>
      <c r="C285" s="162" t="s">
        <v>1770</v>
      </c>
      <c r="D285" s="132"/>
      <c r="E285" s="110" t="s">
        <v>728</v>
      </c>
      <c r="F285" s="132"/>
      <c r="G285" s="226" t="s">
        <v>1783</v>
      </c>
      <c r="H285" s="110" t="s">
        <v>34</v>
      </c>
      <c r="I285" s="149" t="s">
        <v>1782</v>
      </c>
      <c r="J285" s="111" t="s">
        <v>6</v>
      </c>
      <c r="K285" s="111"/>
      <c r="L285" s="112" t="s">
        <v>729</v>
      </c>
    </row>
    <row r="286" spans="1:12" s="113" customFormat="1" ht="25.2" customHeight="1">
      <c r="A286" s="132">
        <f>SUBTOTAL(103,$B$2:B286)*1</f>
        <v>204</v>
      </c>
      <c r="B286" s="127" t="s">
        <v>727</v>
      </c>
      <c r="C286" s="162" t="s">
        <v>1771</v>
      </c>
      <c r="D286" s="132"/>
      <c r="E286" s="110" t="s">
        <v>728</v>
      </c>
      <c r="F286" s="132"/>
      <c r="G286" s="226" t="s">
        <v>1783</v>
      </c>
      <c r="H286" s="110" t="s">
        <v>34</v>
      </c>
      <c r="I286" s="149" t="s">
        <v>1782</v>
      </c>
      <c r="J286" s="111" t="s">
        <v>6</v>
      </c>
      <c r="K286" s="111"/>
      <c r="L286" s="112" t="s">
        <v>729</v>
      </c>
    </row>
    <row r="287" spans="1:12" s="113" customFormat="1" ht="25.2" customHeight="1">
      <c r="A287" s="132">
        <f>SUBTOTAL(103,$B$2:B287)*1</f>
        <v>205</v>
      </c>
      <c r="B287" s="127" t="s">
        <v>727</v>
      </c>
      <c r="C287" s="162" t="s">
        <v>1778</v>
      </c>
      <c r="D287" s="132"/>
      <c r="E287" s="110" t="s">
        <v>34</v>
      </c>
      <c r="F287" s="132"/>
      <c r="G287" s="226" t="s">
        <v>1781</v>
      </c>
      <c r="H287" s="110" t="s">
        <v>34</v>
      </c>
      <c r="I287" s="149" t="s">
        <v>1782</v>
      </c>
      <c r="J287" s="111"/>
      <c r="K287" s="111"/>
      <c r="L287" s="112"/>
    </row>
    <row r="288" spans="1:12" s="113" customFormat="1" ht="25.2" customHeight="1">
      <c r="A288" s="132">
        <f>SUBTOTAL(103,$B$2:B288)*1</f>
        <v>206</v>
      </c>
      <c r="B288" s="127" t="s">
        <v>727</v>
      </c>
      <c r="C288" s="162" t="s">
        <v>1779</v>
      </c>
      <c r="D288" s="132"/>
      <c r="E288" s="110" t="s">
        <v>34</v>
      </c>
      <c r="F288" s="132"/>
      <c r="G288" s="226" t="s">
        <v>1781</v>
      </c>
      <c r="H288" s="110" t="s">
        <v>34</v>
      </c>
      <c r="I288" s="149" t="s">
        <v>1782</v>
      </c>
      <c r="J288" s="111"/>
      <c r="K288" s="111"/>
      <c r="L288" s="112"/>
    </row>
    <row r="289" spans="1:12" s="113" customFormat="1" ht="25.2" customHeight="1">
      <c r="A289" s="132">
        <f>SUBTOTAL(103,$B$2:B289)*1</f>
        <v>207</v>
      </c>
      <c r="B289" s="127" t="s">
        <v>727</v>
      </c>
      <c r="C289" s="162" t="s">
        <v>1780</v>
      </c>
      <c r="D289" s="132"/>
      <c r="E289" s="110" t="s">
        <v>34</v>
      </c>
      <c r="F289" s="132"/>
      <c r="G289" s="226" t="s">
        <v>1781</v>
      </c>
      <c r="H289" s="110" t="s">
        <v>34</v>
      </c>
      <c r="I289" s="149" t="s">
        <v>1782</v>
      </c>
      <c r="J289" s="111"/>
      <c r="K289" s="111"/>
      <c r="L289" s="112"/>
    </row>
    <row r="290" spans="1:12" s="113" customFormat="1" ht="25.2" customHeight="1">
      <c r="A290" s="132">
        <f>SUBTOTAL(103,$B$2:B290)*1</f>
        <v>208</v>
      </c>
      <c r="B290" s="127" t="s">
        <v>727</v>
      </c>
      <c r="C290" s="162" t="s">
        <v>1775</v>
      </c>
      <c r="D290" s="132"/>
      <c r="E290" s="110" t="s">
        <v>34</v>
      </c>
      <c r="F290" s="132"/>
      <c r="G290" s="226" t="s">
        <v>1785</v>
      </c>
      <c r="H290" s="110" t="s">
        <v>34</v>
      </c>
      <c r="I290" s="149" t="s">
        <v>1786</v>
      </c>
      <c r="J290" s="111"/>
      <c r="K290" s="111"/>
      <c r="L290" s="112"/>
    </row>
    <row r="291" spans="1:12" s="113" customFormat="1" ht="25.2" customHeight="1">
      <c r="A291" s="132">
        <f>SUBTOTAL(103,$B$2:B291)*1</f>
        <v>209</v>
      </c>
      <c r="B291" s="127" t="s">
        <v>727</v>
      </c>
      <c r="C291" s="162" t="s">
        <v>1776</v>
      </c>
      <c r="D291" s="132"/>
      <c r="E291" s="110" t="s">
        <v>34</v>
      </c>
      <c r="F291" s="132"/>
      <c r="G291" s="226" t="s">
        <v>1785</v>
      </c>
      <c r="H291" s="110" t="s">
        <v>34</v>
      </c>
      <c r="I291" s="149" t="s">
        <v>1786</v>
      </c>
      <c r="J291" s="111"/>
      <c r="K291" s="111"/>
      <c r="L291" s="112"/>
    </row>
    <row r="292" spans="1:12" s="113" customFormat="1" ht="25.2" customHeight="1">
      <c r="A292" s="132">
        <f>SUBTOTAL(103,$B$2:B292)*1</f>
        <v>210</v>
      </c>
      <c r="B292" s="127" t="s">
        <v>727</v>
      </c>
      <c r="C292" s="162" t="s">
        <v>1777</v>
      </c>
      <c r="D292" s="132"/>
      <c r="E292" s="110" t="s">
        <v>34</v>
      </c>
      <c r="F292" s="132"/>
      <c r="G292" s="226" t="s">
        <v>1785</v>
      </c>
      <c r="H292" s="110" t="s">
        <v>34</v>
      </c>
      <c r="I292" s="149" t="s">
        <v>1786</v>
      </c>
      <c r="J292" s="111"/>
      <c r="K292" s="111"/>
      <c r="L292" s="112"/>
    </row>
    <row r="293" spans="1:12" s="113" customFormat="1" ht="25.2" customHeight="1">
      <c r="A293" s="132">
        <f>SUBTOTAL(103,$B$2:B293)*1</f>
        <v>211</v>
      </c>
      <c r="B293" s="127" t="s">
        <v>727</v>
      </c>
      <c r="C293" s="162" t="s">
        <v>1772</v>
      </c>
      <c r="D293" s="132"/>
      <c r="E293" s="110" t="s">
        <v>728</v>
      </c>
      <c r="F293" s="132"/>
      <c r="G293" s="231" t="s">
        <v>1787</v>
      </c>
      <c r="H293" s="110" t="s">
        <v>34</v>
      </c>
      <c r="I293" s="149" t="s">
        <v>1786</v>
      </c>
      <c r="J293" s="111" t="s">
        <v>6</v>
      </c>
      <c r="K293" s="111"/>
      <c r="L293" s="112" t="s">
        <v>729</v>
      </c>
    </row>
    <row r="294" spans="1:12" s="113" customFormat="1" ht="25.2" customHeight="1">
      <c r="A294" s="132">
        <f>SUBTOTAL(103,$B$2:B294)*1</f>
        <v>212</v>
      </c>
      <c r="B294" s="127" t="s">
        <v>727</v>
      </c>
      <c r="C294" s="162" t="s">
        <v>1773</v>
      </c>
      <c r="D294" s="132"/>
      <c r="E294" s="110" t="s">
        <v>728</v>
      </c>
      <c r="F294" s="132"/>
      <c r="G294" s="231" t="s">
        <v>1787</v>
      </c>
      <c r="H294" s="110" t="s">
        <v>34</v>
      </c>
      <c r="I294" s="149" t="s">
        <v>1786</v>
      </c>
      <c r="J294" s="111" t="s">
        <v>6</v>
      </c>
      <c r="K294" s="111"/>
      <c r="L294" s="112" t="s">
        <v>729</v>
      </c>
    </row>
    <row r="295" spans="1:12" s="113" customFormat="1" ht="25.2" customHeight="1">
      <c r="A295" s="132">
        <f>SUBTOTAL(103,$B$2:B295)*1</f>
        <v>213</v>
      </c>
      <c r="B295" s="127" t="s">
        <v>727</v>
      </c>
      <c r="C295" s="162" t="s">
        <v>1774</v>
      </c>
      <c r="D295" s="132"/>
      <c r="E295" s="110" t="s">
        <v>728</v>
      </c>
      <c r="F295" s="132"/>
      <c r="G295" s="231" t="s">
        <v>1787</v>
      </c>
      <c r="H295" s="110" t="s">
        <v>34</v>
      </c>
      <c r="I295" s="149" t="s">
        <v>1786</v>
      </c>
      <c r="J295" s="111" t="s">
        <v>6</v>
      </c>
      <c r="K295" s="111"/>
      <c r="L295" s="112" t="s">
        <v>729</v>
      </c>
    </row>
    <row r="296" spans="1:12" s="113" customFormat="1" ht="25.2" hidden="1" customHeight="1">
      <c r="A296" s="108">
        <f>SUBTOTAL(103,$B$2:B296)*1</f>
        <v>213</v>
      </c>
      <c r="B296" s="109" t="s">
        <v>200</v>
      </c>
      <c r="C296" s="177" t="s">
        <v>178</v>
      </c>
      <c r="D296" s="108"/>
      <c r="E296" s="110" t="s">
        <v>7</v>
      </c>
      <c r="F296" s="108"/>
      <c r="G296" s="102"/>
      <c r="H296" s="108" t="s">
        <v>483</v>
      </c>
      <c r="I296" s="104" t="str">
        <f>IF(G296="","",IF(G296=E296,"Pass",""))</f>
        <v/>
      </c>
      <c r="J296" s="111" t="s">
        <v>13</v>
      </c>
      <c r="K296" s="111"/>
      <c r="L296" s="112" t="s">
        <v>512</v>
      </c>
    </row>
    <row r="297" spans="1:12" s="113" customFormat="1" ht="25.2" customHeight="1">
      <c r="A297" s="108">
        <f>SUBTOTAL(103,$B$2:B297)*1</f>
        <v>214</v>
      </c>
      <c r="B297" s="109" t="s">
        <v>114</v>
      </c>
      <c r="C297" s="162" t="s">
        <v>112</v>
      </c>
      <c r="D297" s="108"/>
      <c r="E297" s="110" t="s">
        <v>7</v>
      </c>
      <c r="F297" s="108"/>
      <c r="G297" s="102" t="s">
        <v>7</v>
      </c>
      <c r="H297" s="108" t="s">
        <v>34</v>
      </c>
      <c r="I297" s="104" t="str">
        <f>IF(G297="","",IF(G297=E297,"Pass","Fail"))</f>
        <v>Pass</v>
      </c>
      <c r="J297" s="111" t="s">
        <v>6</v>
      </c>
      <c r="K297" s="111"/>
      <c r="L297" s="112"/>
    </row>
    <row r="298" spans="1:12" s="113" customFormat="1" ht="25.2" customHeight="1">
      <c r="A298" s="108">
        <f>SUBTOTAL(103,$B$2:B298)*1</f>
        <v>215</v>
      </c>
      <c r="B298" s="109" t="s">
        <v>693</v>
      </c>
      <c r="C298" s="162" t="s">
        <v>485</v>
      </c>
      <c r="D298" s="108"/>
      <c r="E298" s="110" t="s">
        <v>7</v>
      </c>
      <c r="F298" s="108"/>
      <c r="G298" s="102" t="s">
        <v>7</v>
      </c>
      <c r="H298" s="108" t="s">
        <v>34</v>
      </c>
      <c r="I298" s="104" t="str">
        <f>IF(G298="","",IF(G298=E298,"Pass","Fail"))</f>
        <v>Pass</v>
      </c>
      <c r="J298" s="111" t="s">
        <v>6</v>
      </c>
      <c r="K298" s="111"/>
      <c r="L298" s="112"/>
    </row>
    <row r="299" spans="1:12" s="113" customFormat="1" ht="25.2" customHeight="1">
      <c r="A299" s="108">
        <f>SUBTOTAL(103,$B$2:B299)*1</f>
        <v>216</v>
      </c>
      <c r="B299" s="109" t="s">
        <v>114</v>
      </c>
      <c r="C299" s="162" t="s">
        <v>488</v>
      </c>
      <c r="D299" s="108"/>
      <c r="E299" s="110" t="s">
        <v>1696</v>
      </c>
      <c r="F299" s="108"/>
      <c r="G299" s="102" t="s">
        <v>1695</v>
      </c>
      <c r="H299" s="108" t="s">
        <v>34</v>
      </c>
      <c r="I299" s="104" t="str">
        <f>IF(G299="","",IF(G299=E299,"Pass","Fail"))</f>
        <v>Pass</v>
      </c>
      <c r="J299" s="111" t="s">
        <v>6</v>
      </c>
      <c r="K299" s="111"/>
      <c r="L299" s="112"/>
    </row>
    <row r="300" spans="1:12" s="113" customFormat="1" ht="25.2" customHeight="1">
      <c r="A300" s="108">
        <f>SUBTOTAL(103,$B$2:B300)*1</f>
        <v>217</v>
      </c>
      <c r="B300" s="109" t="s">
        <v>114</v>
      </c>
      <c r="C300" s="162" t="s">
        <v>489</v>
      </c>
      <c r="D300" s="108"/>
      <c r="E300" s="110" t="s">
        <v>1694</v>
      </c>
      <c r="F300" s="108"/>
      <c r="G300" s="102" t="s">
        <v>1693</v>
      </c>
      <c r="H300" s="108" t="s">
        <v>34</v>
      </c>
      <c r="I300" s="104" t="str">
        <f>IF(G300="","",IF(G300=E300,"Pass","Fail"))</f>
        <v>Pass</v>
      </c>
      <c r="J300" s="111" t="s">
        <v>6</v>
      </c>
      <c r="K300" s="111"/>
      <c r="L300" s="112"/>
    </row>
    <row r="301" spans="1:12" s="113" customFormat="1" ht="25.2" customHeight="1">
      <c r="A301" s="108">
        <f>SUBTOTAL(103,$B$2:B301)*1</f>
        <v>218</v>
      </c>
      <c r="B301" s="109" t="s">
        <v>114</v>
      </c>
      <c r="C301" s="177" t="s">
        <v>424</v>
      </c>
      <c r="D301" s="108"/>
      <c r="E301" s="110" t="s">
        <v>361</v>
      </c>
      <c r="F301" s="108"/>
      <c r="G301" s="102" t="s">
        <v>1697</v>
      </c>
      <c r="H301" s="108" t="s">
        <v>34</v>
      </c>
      <c r="I301" s="104" t="str">
        <f>IF(G301="","",IF(G301=E301,"Pass","Fail"))</f>
        <v>Pass</v>
      </c>
      <c r="J301" s="111" t="s">
        <v>6</v>
      </c>
      <c r="K301" s="111"/>
      <c r="L301" s="112"/>
    </row>
    <row r="302" spans="1:12" s="161" customFormat="1" ht="25.2" customHeight="1">
      <c r="A302" s="132">
        <f>SUBTOTAL(103,$B$2:B302)*1</f>
        <v>219</v>
      </c>
      <c r="B302" s="127" t="s">
        <v>806</v>
      </c>
      <c r="C302" s="191" t="s">
        <v>486</v>
      </c>
      <c r="D302" s="132"/>
      <c r="E302" s="110"/>
      <c r="F302" s="132">
        <v>30</v>
      </c>
      <c r="G302" s="215">
        <v>23</v>
      </c>
      <c r="H302" s="132" t="s">
        <v>127</v>
      </c>
      <c r="I302" s="149" t="str">
        <f>IF(G302="","",IF(AND(G302&lt;=F302),"Pass","Fail"))</f>
        <v>Pass</v>
      </c>
      <c r="J302" s="111" t="s">
        <v>6</v>
      </c>
      <c r="K302" s="111"/>
      <c r="L302" s="171" t="s">
        <v>1467</v>
      </c>
    </row>
    <row r="303" spans="1:12" s="113" customFormat="1" ht="25.2" hidden="1" customHeight="1">
      <c r="A303" s="108">
        <f>SUBTOTAL(103,$B$2:B303)*1</f>
        <v>219</v>
      </c>
      <c r="B303" s="109" t="s">
        <v>140</v>
      </c>
      <c r="C303" s="162" t="s">
        <v>487</v>
      </c>
      <c r="D303" s="108"/>
      <c r="E303" s="110" t="s">
        <v>7</v>
      </c>
      <c r="F303" s="108"/>
      <c r="G303" s="102"/>
      <c r="H303" s="108" t="s">
        <v>34</v>
      </c>
      <c r="I303" s="104" t="str">
        <f>IF(G303="","",IF(G303=E303,"Pass",""))</f>
        <v/>
      </c>
      <c r="J303" s="111" t="s">
        <v>6</v>
      </c>
      <c r="K303" s="111"/>
      <c r="L303" s="112"/>
    </row>
    <row r="304" spans="1:12" s="113" customFormat="1" ht="25.2" customHeight="1">
      <c r="A304" s="108">
        <f>SUBTOTAL(103,$B$2:B304)*1</f>
        <v>220</v>
      </c>
      <c r="B304" s="109" t="s">
        <v>114</v>
      </c>
      <c r="C304" s="162" t="s">
        <v>347</v>
      </c>
      <c r="D304" s="108"/>
      <c r="E304" s="110" t="s">
        <v>7</v>
      </c>
      <c r="F304" s="108"/>
      <c r="G304" s="102" t="s">
        <v>1666</v>
      </c>
      <c r="H304" s="108" t="s">
        <v>34</v>
      </c>
      <c r="I304" s="104" t="str">
        <f>IF(G304="","",IF(G304=E304,"Pass","Fail"))</f>
        <v>Pass</v>
      </c>
      <c r="J304" s="111" t="s">
        <v>6</v>
      </c>
      <c r="K304" s="111"/>
      <c r="L304" s="112" t="s">
        <v>1581</v>
      </c>
    </row>
    <row r="305" spans="1:12" s="113" customFormat="1" ht="25.2" hidden="1" customHeight="1">
      <c r="A305" s="108">
        <f>SUBTOTAL(103,$B$2:B305)*1</f>
        <v>220</v>
      </c>
      <c r="B305" s="109" t="s">
        <v>138</v>
      </c>
      <c r="C305" s="169" t="s">
        <v>95</v>
      </c>
      <c r="D305" s="108"/>
      <c r="E305" s="110" t="s">
        <v>173</v>
      </c>
      <c r="F305" s="108"/>
      <c r="G305" s="102"/>
      <c r="H305" s="108" t="s">
        <v>34</v>
      </c>
      <c r="I305" s="104" t="s">
        <v>162</v>
      </c>
      <c r="J305" s="111" t="s">
        <v>13</v>
      </c>
      <c r="K305" s="111"/>
      <c r="L305" s="112" t="s">
        <v>513</v>
      </c>
    </row>
    <row r="306" spans="1:12" s="113" customFormat="1" ht="25.2" hidden="1" customHeight="1">
      <c r="A306" s="108">
        <f>SUBTOTAL(103,$B$2:B306)*1</f>
        <v>220</v>
      </c>
      <c r="B306" s="109" t="s">
        <v>139</v>
      </c>
      <c r="C306" s="169" t="s">
        <v>94</v>
      </c>
      <c r="D306" s="108">
        <v>300</v>
      </c>
      <c r="E306" s="110"/>
      <c r="F306" s="108"/>
      <c r="G306" s="116"/>
      <c r="H306" s="108" t="s">
        <v>127</v>
      </c>
      <c r="I306" s="104" t="str">
        <f>IF(G306="","",IF(G306&gt;=D306,"Pass","Fail"))</f>
        <v/>
      </c>
      <c r="J306" s="111" t="s">
        <v>13</v>
      </c>
      <c r="K306" s="121"/>
      <c r="L306" s="112" t="s">
        <v>514</v>
      </c>
    </row>
    <row r="307" spans="1:12" s="113" customFormat="1" ht="37.200000000000003" customHeight="1">
      <c r="A307" s="108">
        <f>SUBTOTAL(103,$B$2:B307)*1</f>
        <v>221</v>
      </c>
      <c r="B307" s="109" t="s">
        <v>193</v>
      </c>
      <c r="C307" s="169" t="s">
        <v>705</v>
      </c>
      <c r="D307" s="108"/>
      <c r="E307" s="110"/>
      <c r="F307" s="108">
        <v>800</v>
      </c>
      <c r="G307" s="130">
        <v>755.93</v>
      </c>
      <c r="H307" s="108" t="s">
        <v>127</v>
      </c>
      <c r="I307" s="104" t="str">
        <f>IF(G307="","",IF(G307&lt;=F307,"Pass","Fail"))</f>
        <v>Pass</v>
      </c>
      <c r="J307" s="111" t="s">
        <v>13</v>
      </c>
      <c r="K307" s="121"/>
      <c r="L307" s="112" t="s">
        <v>514</v>
      </c>
    </row>
    <row r="308" spans="1:12" s="113" customFormat="1" ht="37.200000000000003" customHeight="1">
      <c r="A308" s="108">
        <f>SUBTOTAL(103,$B$2:B308)*1</f>
        <v>222</v>
      </c>
      <c r="B308" s="109" t="s">
        <v>193</v>
      </c>
      <c r="C308" s="169" t="s">
        <v>706</v>
      </c>
      <c r="D308" s="172"/>
      <c r="E308" s="110"/>
      <c r="F308" s="108">
        <v>-500</v>
      </c>
      <c r="G308" s="230">
        <v>-719.38</v>
      </c>
      <c r="H308" s="108" t="s">
        <v>127</v>
      </c>
      <c r="I308" s="104" t="str">
        <f>IF(G308="","",IF(AND(G308&lt;=F308),"Pass","Fail"))</f>
        <v>Pass</v>
      </c>
      <c r="J308" s="111" t="s">
        <v>13</v>
      </c>
      <c r="K308" s="121"/>
      <c r="L308" s="112"/>
    </row>
    <row r="309" spans="1:12" s="113" customFormat="1" ht="25.2" customHeight="1">
      <c r="A309" s="108">
        <f>SUBTOTAL(103,$B$2:B309)*1</f>
        <v>223</v>
      </c>
      <c r="B309" s="109" t="s">
        <v>72</v>
      </c>
      <c r="C309" s="177" t="s">
        <v>490</v>
      </c>
      <c r="D309" s="108"/>
      <c r="E309" s="110" t="s">
        <v>7</v>
      </c>
      <c r="F309" s="108"/>
      <c r="G309" s="102" t="s">
        <v>1666</v>
      </c>
      <c r="H309" s="108" t="s">
        <v>34</v>
      </c>
      <c r="I309" s="104" t="str">
        <f t="shared" ref="I309:I329" si="20">IF(G309="","",IF(G309=E309,"Pass","Fail"))</f>
        <v>Pass</v>
      </c>
      <c r="J309" s="111" t="s">
        <v>6</v>
      </c>
      <c r="K309" s="111"/>
      <c r="L309" s="112"/>
    </row>
    <row r="310" spans="1:12" s="113" customFormat="1" ht="25.2" customHeight="1">
      <c r="A310" s="108">
        <f>SUBTOTAL(103,$B$2:B310)*1</f>
        <v>224</v>
      </c>
      <c r="B310" s="109" t="s">
        <v>72</v>
      </c>
      <c r="C310" s="177" t="s">
        <v>73</v>
      </c>
      <c r="D310" s="108"/>
      <c r="E310" s="110" t="s">
        <v>74</v>
      </c>
      <c r="F310" s="108"/>
      <c r="G310" s="102" t="s">
        <v>1692</v>
      </c>
      <c r="H310" s="108" t="s">
        <v>34</v>
      </c>
      <c r="I310" s="104" t="str">
        <f t="shared" si="20"/>
        <v>Pass</v>
      </c>
      <c r="J310" s="111" t="s">
        <v>6</v>
      </c>
      <c r="K310" s="111"/>
      <c r="L310" s="112"/>
    </row>
    <row r="311" spans="1:12" s="113" customFormat="1" ht="25.2" customHeight="1">
      <c r="A311" s="108">
        <f>SUBTOTAL(103,$B$2:B311)*1</f>
        <v>225</v>
      </c>
      <c r="B311" s="109" t="s">
        <v>72</v>
      </c>
      <c r="C311" s="169" t="s">
        <v>110</v>
      </c>
      <c r="D311" s="108"/>
      <c r="E311" s="110" t="s">
        <v>1698</v>
      </c>
      <c r="F311" s="108"/>
      <c r="G311" s="102" t="s">
        <v>111</v>
      </c>
      <c r="H311" s="108" t="s">
        <v>131</v>
      </c>
      <c r="I311" s="104" t="str">
        <f t="shared" si="20"/>
        <v>Pass</v>
      </c>
      <c r="J311" s="111" t="s">
        <v>6</v>
      </c>
      <c r="K311" s="111"/>
      <c r="L311" s="112"/>
    </row>
    <row r="312" spans="1:12" s="113" customFormat="1" ht="25.2" customHeight="1">
      <c r="A312" s="108">
        <f>SUBTOTAL(103,$B$2:B312)*1</f>
        <v>226</v>
      </c>
      <c r="B312" s="109" t="s">
        <v>72</v>
      </c>
      <c r="C312" s="177" t="s">
        <v>812</v>
      </c>
      <c r="D312" s="108"/>
      <c r="E312" s="110">
        <v>512</v>
      </c>
      <c r="F312" s="108"/>
      <c r="G312" s="102">
        <v>512</v>
      </c>
      <c r="H312" s="108" t="s">
        <v>34</v>
      </c>
      <c r="I312" s="104" t="str">
        <f t="shared" si="20"/>
        <v>Pass</v>
      </c>
      <c r="J312" s="111" t="s">
        <v>6</v>
      </c>
      <c r="K312" s="111"/>
      <c r="L312" s="112" t="s">
        <v>870</v>
      </c>
    </row>
    <row r="313" spans="1:12" s="113" customFormat="1" ht="25.2" customHeight="1">
      <c r="A313" s="108">
        <f>SUBTOTAL(103,$B$2:B313)*1</f>
        <v>227</v>
      </c>
      <c r="B313" s="109" t="s">
        <v>72</v>
      </c>
      <c r="C313" s="177" t="s">
        <v>813</v>
      </c>
      <c r="D313" s="108"/>
      <c r="E313" s="110">
        <v>20</v>
      </c>
      <c r="F313" s="108"/>
      <c r="G313" s="102">
        <v>20</v>
      </c>
      <c r="H313" s="108" t="s">
        <v>34</v>
      </c>
      <c r="I313" s="104" t="str">
        <f t="shared" si="20"/>
        <v>Pass</v>
      </c>
      <c r="J313" s="111" t="s">
        <v>6</v>
      </c>
      <c r="K313" s="111"/>
      <c r="L313" s="112" t="s">
        <v>870</v>
      </c>
    </row>
    <row r="314" spans="1:12" s="113" customFormat="1" ht="25.2" customHeight="1">
      <c r="A314" s="108">
        <f>SUBTOTAL(103,$B$2:B314)*1</f>
        <v>228</v>
      </c>
      <c r="B314" s="109" t="s">
        <v>72</v>
      </c>
      <c r="C314" s="177" t="s">
        <v>814</v>
      </c>
      <c r="D314" s="108"/>
      <c r="E314" s="110">
        <v>20</v>
      </c>
      <c r="F314" s="108"/>
      <c r="G314" s="102">
        <v>20</v>
      </c>
      <c r="H314" s="108" t="s">
        <v>34</v>
      </c>
      <c r="I314" s="104" t="str">
        <f t="shared" si="20"/>
        <v>Pass</v>
      </c>
      <c r="J314" s="111" t="s">
        <v>6</v>
      </c>
      <c r="K314" s="111"/>
      <c r="L314" s="112" t="s">
        <v>870</v>
      </c>
    </row>
    <row r="315" spans="1:12" s="113" customFormat="1" ht="25.2" customHeight="1">
      <c r="A315" s="108">
        <f>SUBTOTAL(103,$B$2:B315)*1</f>
        <v>229</v>
      </c>
      <c r="B315" s="109" t="s">
        <v>72</v>
      </c>
      <c r="C315" s="177" t="s">
        <v>815</v>
      </c>
      <c r="D315" s="108"/>
      <c r="E315" s="110">
        <v>10</v>
      </c>
      <c r="F315" s="108"/>
      <c r="G315" s="102">
        <v>10</v>
      </c>
      <c r="H315" s="108" t="s">
        <v>34</v>
      </c>
      <c r="I315" s="104" t="str">
        <f t="shared" si="20"/>
        <v>Pass</v>
      </c>
      <c r="J315" s="147" t="s">
        <v>6</v>
      </c>
      <c r="K315" s="147"/>
      <c r="L315" s="112" t="s">
        <v>870</v>
      </c>
    </row>
    <row r="316" spans="1:12" s="113" customFormat="1" ht="25.2" customHeight="1">
      <c r="A316" s="108">
        <f>SUBTOTAL(103,$B$2:B316)*1</f>
        <v>230</v>
      </c>
      <c r="B316" s="109" t="s">
        <v>72</v>
      </c>
      <c r="C316" s="177" t="s">
        <v>816</v>
      </c>
      <c r="D316" s="108"/>
      <c r="E316" s="110">
        <v>3</v>
      </c>
      <c r="F316" s="108"/>
      <c r="G316" s="102">
        <v>3</v>
      </c>
      <c r="H316" s="108" t="s">
        <v>34</v>
      </c>
      <c r="I316" s="104" t="str">
        <f t="shared" si="20"/>
        <v>Pass</v>
      </c>
      <c r="J316" s="147" t="s">
        <v>6</v>
      </c>
      <c r="K316" s="147"/>
      <c r="L316" s="112" t="s">
        <v>870</v>
      </c>
    </row>
    <row r="317" spans="1:12" s="113" customFormat="1" ht="25.2" customHeight="1">
      <c r="A317" s="108">
        <f>SUBTOTAL(103,$B$2:B317)*1</f>
        <v>231</v>
      </c>
      <c r="B317" s="109" t="s">
        <v>72</v>
      </c>
      <c r="C317" s="169" t="s">
        <v>817</v>
      </c>
      <c r="D317" s="108"/>
      <c r="E317" s="110">
        <v>4</v>
      </c>
      <c r="F317" s="108"/>
      <c r="G317" s="102">
        <v>4</v>
      </c>
      <c r="H317" s="108" t="s">
        <v>34</v>
      </c>
      <c r="I317" s="104" t="str">
        <f t="shared" si="20"/>
        <v>Pass</v>
      </c>
      <c r="J317" s="111" t="s">
        <v>6</v>
      </c>
      <c r="K317" s="111"/>
      <c r="L317" s="112" t="s">
        <v>515</v>
      </c>
    </row>
    <row r="318" spans="1:12" s="113" customFormat="1" ht="25.2" customHeight="1">
      <c r="A318" s="108">
        <f>SUBTOTAL(103,$B$2:B318)*1</f>
        <v>232</v>
      </c>
      <c r="B318" s="109" t="s">
        <v>72</v>
      </c>
      <c r="C318" s="177" t="s">
        <v>818</v>
      </c>
      <c r="D318" s="108"/>
      <c r="E318" s="110">
        <v>4</v>
      </c>
      <c r="F318" s="108"/>
      <c r="G318" s="102">
        <v>4</v>
      </c>
      <c r="H318" s="134" t="s">
        <v>34</v>
      </c>
      <c r="I318" s="104" t="str">
        <f t="shared" si="20"/>
        <v>Pass</v>
      </c>
      <c r="J318" s="147" t="s">
        <v>6</v>
      </c>
      <c r="K318" s="147"/>
      <c r="L318" s="112" t="s">
        <v>870</v>
      </c>
    </row>
    <row r="319" spans="1:12" s="113" customFormat="1" ht="25.2" customHeight="1">
      <c r="A319" s="108">
        <f>SUBTOTAL(103,$B$2:B319)*1</f>
        <v>233</v>
      </c>
      <c r="B319" s="109" t="s">
        <v>72</v>
      </c>
      <c r="C319" s="169" t="s">
        <v>819</v>
      </c>
      <c r="D319" s="108"/>
      <c r="E319" s="110">
        <v>1.5</v>
      </c>
      <c r="F319" s="108"/>
      <c r="G319" s="102">
        <v>1.5</v>
      </c>
      <c r="H319" s="108" t="s">
        <v>483</v>
      </c>
      <c r="I319" s="104" t="str">
        <f t="shared" si="20"/>
        <v>Pass</v>
      </c>
      <c r="J319" s="111" t="s">
        <v>6</v>
      </c>
      <c r="K319" s="111"/>
      <c r="L319" s="112" t="s">
        <v>147</v>
      </c>
    </row>
    <row r="320" spans="1:12" s="113" customFormat="1" ht="25.2" customHeight="1">
      <c r="A320" s="108">
        <f>SUBTOTAL(103,$B$2:B320)*1</f>
        <v>234</v>
      </c>
      <c r="B320" s="109" t="s">
        <v>72</v>
      </c>
      <c r="C320" s="177" t="s">
        <v>820</v>
      </c>
      <c r="D320" s="108"/>
      <c r="E320" s="110">
        <v>1</v>
      </c>
      <c r="F320" s="108"/>
      <c r="G320" s="102">
        <v>1</v>
      </c>
      <c r="H320" s="134" t="s">
        <v>34</v>
      </c>
      <c r="I320" s="104" t="str">
        <f t="shared" si="20"/>
        <v>Pass</v>
      </c>
      <c r="J320" s="147" t="s">
        <v>6</v>
      </c>
      <c r="K320" s="147"/>
      <c r="L320" s="112" t="s">
        <v>870</v>
      </c>
    </row>
    <row r="321" spans="1:12" s="113" customFormat="1" ht="25.2" customHeight="1">
      <c r="A321" s="108">
        <f>SUBTOTAL(103,$B$2:B321)*1</f>
        <v>235</v>
      </c>
      <c r="B321" s="109" t="s">
        <v>72</v>
      </c>
      <c r="C321" s="177" t="s">
        <v>821</v>
      </c>
      <c r="D321" s="108"/>
      <c r="E321" s="110">
        <v>1</v>
      </c>
      <c r="F321" s="108"/>
      <c r="G321" s="102">
        <v>1</v>
      </c>
      <c r="H321" s="134" t="s">
        <v>34</v>
      </c>
      <c r="I321" s="104" t="str">
        <f t="shared" si="20"/>
        <v>Pass</v>
      </c>
      <c r="J321" s="111" t="s">
        <v>6</v>
      </c>
      <c r="K321" s="111"/>
      <c r="L321" s="112" t="s">
        <v>870</v>
      </c>
    </row>
    <row r="322" spans="1:12" s="113" customFormat="1" ht="25.2" customHeight="1">
      <c r="A322" s="108">
        <f>SUBTOTAL(103,$B$2:B322)*1</f>
        <v>236</v>
      </c>
      <c r="B322" s="109" t="s">
        <v>72</v>
      </c>
      <c r="C322" s="169" t="s">
        <v>822</v>
      </c>
      <c r="D322" s="108"/>
      <c r="E322" s="110">
        <v>1</v>
      </c>
      <c r="F322" s="108"/>
      <c r="G322" s="102">
        <v>1</v>
      </c>
      <c r="H322" s="134" t="s">
        <v>34</v>
      </c>
      <c r="I322" s="104" t="str">
        <f t="shared" si="20"/>
        <v>Pass</v>
      </c>
      <c r="J322" s="111" t="s">
        <v>6</v>
      </c>
      <c r="K322" s="111"/>
      <c r="L322" s="112" t="s">
        <v>870</v>
      </c>
    </row>
    <row r="323" spans="1:12" s="113" customFormat="1" ht="25.2" customHeight="1">
      <c r="A323" s="108">
        <f>SUBTOTAL(103,$B$2:B323)*1</f>
        <v>237</v>
      </c>
      <c r="B323" s="109" t="s">
        <v>72</v>
      </c>
      <c r="C323" s="177" t="s">
        <v>823</v>
      </c>
      <c r="D323" s="108"/>
      <c r="E323" s="110">
        <v>0.03</v>
      </c>
      <c r="F323" s="108"/>
      <c r="G323" s="102">
        <v>0.03</v>
      </c>
      <c r="H323" s="108" t="s">
        <v>34</v>
      </c>
      <c r="I323" s="104" t="str">
        <f t="shared" si="20"/>
        <v>Pass</v>
      </c>
      <c r="J323" s="147" t="s">
        <v>6</v>
      </c>
      <c r="K323" s="147"/>
      <c r="L323" s="112" t="s">
        <v>1148</v>
      </c>
    </row>
    <row r="324" spans="1:12" s="113" customFormat="1" ht="25.2" customHeight="1">
      <c r="A324" s="108">
        <f>SUBTOTAL(103,$B$2:B324)*1</f>
        <v>238</v>
      </c>
      <c r="B324" s="109" t="s">
        <v>72</v>
      </c>
      <c r="C324" s="177" t="s">
        <v>824</v>
      </c>
      <c r="D324" s="108"/>
      <c r="E324" s="110">
        <v>0.03</v>
      </c>
      <c r="F324" s="108"/>
      <c r="G324" s="102">
        <v>0.03</v>
      </c>
      <c r="H324" s="108" t="s">
        <v>34</v>
      </c>
      <c r="I324" s="104" t="str">
        <f t="shared" si="20"/>
        <v>Pass</v>
      </c>
      <c r="J324" s="147" t="s">
        <v>6</v>
      </c>
      <c r="K324" s="147"/>
      <c r="L324" s="112" t="s">
        <v>1148</v>
      </c>
    </row>
    <row r="325" spans="1:12" s="113" customFormat="1" ht="25.2" customHeight="1">
      <c r="A325" s="108">
        <f>SUBTOTAL(103,$B$2:B325)*1</f>
        <v>239</v>
      </c>
      <c r="B325" s="109" t="s">
        <v>72</v>
      </c>
      <c r="C325" s="177" t="s">
        <v>825</v>
      </c>
      <c r="D325" s="108"/>
      <c r="E325" s="110">
        <v>0.2</v>
      </c>
      <c r="F325" s="108"/>
      <c r="G325" s="102">
        <v>0.2</v>
      </c>
      <c r="H325" s="108" t="s">
        <v>34</v>
      </c>
      <c r="I325" s="104" t="str">
        <f>IF(G325="","",IF(G325=E325,"Pass","Fail"))</f>
        <v>Pass</v>
      </c>
      <c r="J325" s="147" t="s">
        <v>6</v>
      </c>
      <c r="K325" s="147"/>
      <c r="L325" s="112" t="s">
        <v>870</v>
      </c>
    </row>
    <row r="326" spans="1:12" s="113" customFormat="1" ht="25.2" customHeight="1">
      <c r="A326" s="108">
        <f>SUBTOTAL(103,$B$2:B326)*1</f>
        <v>240</v>
      </c>
      <c r="B326" s="109" t="s">
        <v>72</v>
      </c>
      <c r="C326" s="177" t="s">
        <v>826</v>
      </c>
      <c r="D326" s="108"/>
      <c r="E326" s="110">
        <v>0.2</v>
      </c>
      <c r="F326" s="108"/>
      <c r="G326" s="102">
        <v>0.2</v>
      </c>
      <c r="H326" s="108" t="s">
        <v>34</v>
      </c>
      <c r="I326" s="104" t="str">
        <f>IF(G326="","",IF(G326=E326,"Pass","Fail"))</f>
        <v>Pass</v>
      </c>
      <c r="J326" s="147" t="s">
        <v>6</v>
      </c>
      <c r="K326" s="147"/>
      <c r="L326" s="112" t="s">
        <v>870</v>
      </c>
    </row>
    <row r="327" spans="1:12" s="113" customFormat="1" ht="25.2" customHeight="1">
      <c r="A327" s="132">
        <f>SUBTOTAL(103,$B$2:B327)*1</f>
        <v>241</v>
      </c>
      <c r="B327" s="127" t="s">
        <v>72</v>
      </c>
      <c r="C327" s="191" t="s">
        <v>827</v>
      </c>
      <c r="D327" s="132"/>
      <c r="E327" s="110">
        <v>0</v>
      </c>
      <c r="F327" s="132"/>
      <c r="G327" s="182">
        <v>0</v>
      </c>
      <c r="H327" s="132" t="s">
        <v>34</v>
      </c>
      <c r="I327" s="149" t="str">
        <f t="shared" si="20"/>
        <v>Pass</v>
      </c>
      <c r="J327" s="147" t="s">
        <v>6</v>
      </c>
      <c r="K327" s="147"/>
      <c r="L327" s="112" t="s">
        <v>516</v>
      </c>
    </row>
    <row r="328" spans="1:12" s="113" customFormat="1" ht="25.2" customHeight="1">
      <c r="A328" s="108">
        <f>SUBTOTAL(103,$B$2:B328)*1</f>
        <v>242</v>
      </c>
      <c r="B328" s="109" t="s">
        <v>72</v>
      </c>
      <c r="C328" s="177" t="s">
        <v>828</v>
      </c>
      <c r="D328" s="108"/>
      <c r="E328" s="110">
        <v>0</v>
      </c>
      <c r="F328" s="108"/>
      <c r="G328" s="102">
        <v>0</v>
      </c>
      <c r="H328" s="108" t="s">
        <v>34</v>
      </c>
      <c r="I328" s="104" t="str">
        <f t="shared" si="20"/>
        <v>Pass</v>
      </c>
      <c r="J328" s="147" t="s">
        <v>6</v>
      </c>
      <c r="K328" s="147"/>
      <c r="L328" s="112" t="s">
        <v>870</v>
      </c>
    </row>
    <row r="329" spans="1:12" s="113" customFormat="1" ht="25.2" customHeight="1">
      <c r="A329" s="108">
        <f>SUBTOTAL(103,$B$2:B329)*1</f>
        <v>243</v>
      </c>
      <c r="B329" s="109" t="s">
        <v>72</v>
      </c>
      <c r="C329" s="169" t="s">
        <v>829</v>
      </c>
      <c r="D329" s="108"/>
      <c r="E329" s="110">
        <v>0</v>
      </c>
      <c r="F329" s="108"/>
      <c r="G329" s="102">
        <v>0</v>
      </c>
      <c r="H329" s="108" t="s">
        <v>34</v>
      </c>
      <c r="I329" s="104" t="str">
        <f t="shared" si="20"/>
        <v>Pass</v>
      </c>
      <c r="J329" s="111" t="s">
        <v>6</v>
      </c>
      <c r="K329" s="111"/>
      <c r="L329" s="112" t="s">
        <v>146</v>
      </c>
    </row>
    <row r="330" spans="1:12" s="113" customFormat="1" ht="25.2" customHeight="1">
      <c r="A330" s="108">
        <f>SUBTOTAL(103,$B$2:B330)*1</f>
        <v>244</v>
      </c>
      <c r="B330" s="109" t="s">
        <v>72</v>
      </c>
      <c r="C330" s="177" t="s">
        <v>830</v>
      </c>
      <c r="D330" s="108">
        <v>5</v>
      </c>
      <c r="E330" s="110"/>
      <c r="F330" s="132">
        <v>20</v>
      </c>
      <c r="G330" s="102">
        <v>15</v>
      </c>
      <c r="H330" s="108" t="s">
        <v>34</v>
      </c>
      <c r="I330" s="104" t="str">
        <f>IF(G330="","",IF(AND(G330&gt;=D330,G330&lt;=F330),"Pass","Fail"))</f>
        <v>Pass</v>
      </c>
      <c r="J330" s="111" t="s">
        <v>6</v>
      </c>
      <c r="K330" s="111"/>
      <c r="L330" s="112" t="s">
        <v>1148</v>
      </c>
    </row>
    <row r="331" spans="1:12" s="113" customFormat="1" ht="25.2" customHeight="1">
      <c r="A331" s="108">
        <f>SUBTOTAL(103,$B$2:B331)*1</f>
        <v>245</v>
      </c>
      <c r="B331" s="109" t="s">
        <v>72</v>
      </c>
      <c r="C331" s="177" t="s">
        <v>831</v>
      </c>
      <c r="D331" s="108">
        <v>5</v>
      </c>
      <c r="E331" s="110"/>
      <c r="F331" s="108">
        <v>20</v>
      </c>
      <c r="G331" s="102">
        <v>15</v>
      </c>
      <c r="H331" s="108" t="s">
        <v>34</v>
      </c>
      <c r="I331" s="104" t="str">
        <f>IF(G331="","",IF(AND(G331&gt;=D331,G331&lt;=F331),"Pass","Fail"))</f>
        <v>Pass</v>
      </c>
      <c r="J331" s="111" t="s">
        <v>6</v>
      </c>
      <c r="K331" s="111"/>
      <c r="L331" s="112" t="s">
        <v>1148</v>
      </c>
    </row>
    <row r="332" spans="1:12" s="113" customFormat="1" ht="25.2" customHeight="1">
      <c r="A332" s="108">
        <f>SUBTOTAL(103,$B$2:B332)*1</f>
        <v>246</v>
      </c>
      <c r="B332" s="109" t="s">
        <v>72</v>
      </c>
      <c r="C332" s="177" t="s">
        <v>832</v>
      </c>
      <c r="D332" s="108">
        <v>5</v>
      </c>
      <c r="E332" s="110"/>
      <c r="F332" s="108">
        <v>20</v>
      </c>
      <c r="G332" s="102">
        <v>15</v>
      </c>
      <c r="H332" s="108" t="s">
        <v>34</v>
      </c>
      <c r="I332" s="104" t="str">
        <f>IF(G332="","",IF(AND(G332&gt;=D332,G332&lt;=F332),"Pass","Fail"))</f>
        <v>Pass</v>
      </c>
      <c r="J332" s="147" t="s">
        <v>6</v>
      </c>
      <c r="K332" s="147"/>
      <c r="L332" s="112" t="s">
        <v>1148</v>
      </c>
    </row>
    <row r="333" spans="1:12" s="113" customFormat="1" ht="25.2" customHeight="1">
      <c r="A333" s="108">
        <f>SUBTOTAL(103,$B$2:B333)*1</f>
        <v>247</v>
      </c>
      <c r="B333" s="109" t="s">
        <v>72</v>
      </c>
      <c r="C333" s="177" t="s">
        <v>833</v>
      </c>
      <c r="D333" s="108">
        <v>5</v>
      </c>
      <c r="E333" s="110"/>
      <c r="F333" s="108">
        <v>20</v>
      </c>
      <c r="G333" s="102">
        <v>15</v>
      </c>
      <c r="H333" s="108" t="s">
        <v>34</v>
      </c>
      <c r="I333" s="104" t="str">
        <f>IF(G333="","",IF(AND(G333&gt;=D333,G333&lt;=F333),"Pass","Fail"))</f>
        <v>Pass</v>
      </c>
      <c r="J333" s="147" t="s">
        <v>6</v>
      </c>
      <c r="K333" s="147"/>
      <c r="L333" s="112" t="s">
        <v>1148</v>
      </c>
    </row>
    <row r="334" spans="1:12" s="113" customFormat="1" ht="25.2" customHeight="1">
      <c r="A334" s="108">
        <f>SUBTOTAL(103,$B$2:B334)*1</f>
        <v>248</v>
      </c>
      <c r="B334" s="109" t="s">
        <v>72</v>
      </c>
      <c r="C334" s="177" t="s">
        <v>419</v>
      </c>
      <c r="D334" s="108"/>
      <c r="E334" s="110" t="s">
        <v>362</v>
      </c>
      <c r="F334" s="108"/>
      <c r="G334" s="102" t="s">
        <v>1727</v>
      </c>
      <c r="H334" s="108" t="s">
        <v>34</v>
      </c>
      <c r="I334" s="104" t="str">
        <f>IF(G334="","",IF(G334=E334,"Pass","Fail"))</f>
        <v>Pass</v>
      </c>
      <c r="J334" s="111" t="s">
        <v>13</v>
      </c>
      <c r="K334" s="111"/>
      <c r="L334" s="112" t="s">
        <v>517</v>
      </c>
    </row>
    <row r="335" spans="1:12" s="113" customFormat="1" ht="25.2" customHeight="1">
      <c r="A335" s="108">
        <f>SUBTOTAL(103,$B$2:B335)*1</f>
        <v>249</v>
      </c>
      <c r="B335" s="109" t="s">
        <v>72</v>
      </c>
      <c r="C335" s="191" t="s">
        <v>420</v>
      </c>
      <c r="D335" s="108"/>
      <c r="E335" s="110"/>
      <c r="F335" s="173">
        <v>0.25</v>
      </c>
      <c r="G335" s="102">
        <v>0.11799999999999999</v>
      </c>
      <c r="H335" s="108" t="s">
        <v>125</v>
      </c>
      <c r="I335" s="104" t="str">
        <f t="shared" ref="I335:I341" si="21">IF(G335="","",IF(AND(G335&lt;=F335),"Pass","Fail"))</f>
        <v>Pass</v>
      </c>
      <c r="J335" s="111" t="s">
        <v>13</v>
      </c>
      <c r="K335" s="121" t="s">
        <v>993</v>
      </c>
      <c r="L335" s="112"/>
    </row>
    <row r="336" spans="1:12" s="113" customFormat="1" ht="25.2" customHeight="1">
      <c r="A336" s="108">
        <f>SUBTOTAL(103,$B$2:B336)*1</f>
        <v>250</v>
      </c>
      <c r="B336" s="127" t="s">
        <v>1739</v>
      </c>
      <c r="C336" s="191" t="s">
        <v>1740</v>
      </c>
      <c r="D336" s="132"/>
      <c r="E336" s="110"/>
      <c r="F336" s="132">
        <v>100</v>
      </c>
      <c r="G336" s="182">
        <v>9.9</v>
      </c>
      <c r="H336" s="132" t="s">
        <v>1741</v>
      </c>
      <c r="I336" s="149" t="str">
        <f t="shared" si="21"/>
        <v>Pass</v>
      </c>
      <c r="J336" s="111" t="s">
        <v>13</v>
      </c>
      <c r="K336" s="121" t="s">
        <v>993</v>
      </c>
      <c r="L336" s="112"/>
    </row>
    <row r="337" spans="1:12" s="113" customFormat="1" ht="25.2" customHeight="1">
      <c r="A337" s="108">
        <f>SUBTOTAL(103,$B$2:B337)*1</f>
        <v>251</v>
      </c>
      <c r="B337" s="109" t="s">
        <v>72</v>
      </c>
      <c r="C337" s="177" t="s">
        <v>421</v>
      </c>
      <c r="D337" s="108"/>
      <c r="E337" s="110"/>
      <c r="F337" s="173">
        <v>1</v>
      </c>
      <c r="G337" s="126">
        <v>0.52</v>
      </c>
      <c r="H337" s="108" t="s">
        <v>127</v>
      </c>
      <c r="I337" s="104" t="str">
        <f t="shared" si="21"/>
        <v>Pass</v>
      </c>
      <c r="J337" s="111" t="s">
        <v>13</v>
      </c>
      <c r="K337" s="121" t="s">
        <v>993</v>
      </c>
      <c r="L337" s="112" t="s">
        <v>518</v>
      </c>
    </row>
    <row r="338" spans="1:12" s="113" customFormat="1" ht="25.2" customHeight="1">
      <c r="A338" s="132">
        <f>SUBTOTAL(103,$B$2:B338)*1</f>
        <v>252</v>
      </c>
      <c r="B338" s="127" t="s">
        <v>72</v>
      </c>
      <c r="C338" s="191" t="s">
        <v>415</v>
      </c>
      <c r="D338" s="132"/>
      <c r="E338" s="110"/>
      <c r="F338" s="216">
        <v>12.9</v>
      </c>
      <c r="G338" s="217">
        <v>4.0369999999999999</v>
      </c>
      <c r="H338" s="132" t="s">
        <v>125</v>
      </c>
      <c r="I338" s="149" t="str">
        <f>IF(G338="","",IF(AND(G338&lt;=F338),"Pass","Fail"))</f>
        <v>Pass</v>
      </c>
      <c r="J338" s="111" t="s">
        <v>13</v>
      </c>
      <c r="K338" s="121" t="s">
        <v>993</v>
      </c>
      <c r="L338" s="155" t="s">
        <v>1425</v>
      </c>
    </row>
    <row r="339" spans="1:12" s="113" customFormat="1" ht="25.2" customHeight="1">
      <c r="A339" s="132">
        <f>SUBTOTAL(103,$B$2:B339)*1</f>
        <v>253</v>
      </c>
      <c r="B339" s="127" t="s">
        <v>72</v>
      </c>
      <c r="C339" s="191" t="s">
        <v>416</v>
      </c>
      <c r="D339" s="132"/>
      <c r="E339" s="110"/>
      <c r="F339" s="216">
        <v>5.6</v>
      </c>
      <c r="G339" s="217">
        <v>1.7390000000000001</v>
      </c>
      <c r="H339" s="132" t="s">
        <v>125</v>
      </c>
      <c r="I339" s="149" t="str">
        <f>IF(G339="","",IF(AND(G339&lt;=F339),"Pass","Fail"))</f>
        <v>Pass</v>
      </c>
      <c r="J339" s="111" t="s">
        <v>13</v>
      </c>
      <c r="K339" s="121" t="s">
        <v>993</v>
      </c>
      <c r="L339" s="155" t="s">
        <v>1425</v>
      </c>
    </row>
    <row r="340" spans="1:12" s="113" customFormat="1" ht="25.2" customHeight="1">
      <c r="A340" s="132">
        <f>SUBTOTAL(103,$B$2:B340)*1</f>
        <v>254</v>
      </c>
      <c r="B340" s="127" t="s">
        <v>72</v>
      </c>
      <c r="C340" s="191" t="s">
        <v>417</v>
      </c>
      <c r="D340" s="132"/>
      <c r="E340" s="110"/>
      <c r="F340" s="216">
        <v>3.3</v>
      </c>
      <c r="G340" s="217">
        <v>1.3220000000000001</v>
      </c>
      <c r="H340" s="132" t="s">
        <v>125</v>
      </c>
      <c r="I340" s="149" t="str">
        <f t="shared" si="21"/>
        <v>Pass</v>
      </c>
      <c r="J340" s="111" t="s">
        <v>13</v>
      </c>
      <c r="K340" s="121" t="s">
        <v>993</v>
      </c>
      <c r="L340" s="155" t="s">
        <v>1425</v>
      </c>
    </row>
    <row r="341" spans="1:12" s="113" customFormat="1" ht="25.2" customHeight="1">
      <c r="A341" s="132">
        <f>SUBTOTAL(103,$B$2:B341)*1</f>
        <v>255</v>
      </c>
      <c r="B341" s="127" t="s">
        <v>72</v>
      </c>
      <c r="C341" s="191" t="s">
        <v>418</v>
      </c>
      <c r="D341" s="132"/>
      <c r="E341" s="110"/>
      <c r="F341" s="216">
        <v>1.6</v>
      </c>
      <c r="G341" s="217">
        <v>0.65700000000000003</v>
      </c>
      <c r="H341" s="132" t="s">
        <v>125</v>
      </c>
      <c r="I341" s="149" t="str">
        <f t="shared" si="21"/>
        <v>Pass</v>
      </c>
      <c r="J341" s="111" t="s">
        <v>13</v>
      </c>
      <c r="K341" s="121" t="s">
        <v>993</v>
      </c>
      <c r="L341" s="155" t="s">
        <v>1425</v>
      </c>
    </row>
    <row r="342" spans="1:12" s="113" customFormat="1" ht="25.2" hidden="1" customHeight="1">
      <c r="A342" s="108">
        <f>SUBTOTAL(103,$B$2:B342)*1</f>
        <v>255</v>
      </c>
      <c r="B342" s="109" t="s">
        <v>575</v>
      </c>
      <c r="C342" s="177" t="s">
        <v>411</v>
      </c>
      <c r="D342" s="108"/>
      <c r="E342" s="110"/>
      <c r="F342" s="123">
        <v>250</v>
      </c>
      <c r="G342" s="120"/>
      <c r="H342" s="108" t="s">
        <v>125</v>
      </c>
      <c r="I342" s="104" t="str">
        <f t="shared" ref="I342:I353" si="22">IF(G342="","",IF(AND(G342&lt;=F342),"Pass","Fail"))</f>
        <v/>
      </c>
      <c r="J342" s="111" t="s">
        <v>13</v>
      </c>
      <c r="K342" s="121" t="s">
        <v>993</v>
      </c>
      <c r="L342" s="155" t="s">
        <v>666</v>
      </c>
    </row>
    <row r="343" spans="1:12" s="113" customFormat="1" ht="25.2" hidden="1" customHeight="1">
      <c r="A343" s="108">
        <f>SUBTOTAL(103,$B$2:B343)*1</f>
        <v>255</v>
      </c>
      <c r="B343" s="109" t="s">
        <v>575</v>
      </c>
      <c r="C343" s="177" t="s">
        <v>412</v>
      </c>
      <c r="D343" s="108"/>
      <c r="E343" s="110"/>
      <c r="F343" s="123">
        <v>100</v>
      </c>
      <c r="G343" s="120"/>
      <c r="H343" s="108" t="s">
        <v>125</v>
      </c>
      <c r="I343" s="104" t="str">
        <f t="shared" si="22"/>
        <v/>
      </c>
      <c r="J343" s="111" t="s">
        <v>13</v>
      </c>
      <c r="K343" s="121" t="s">
        <v>993</v>
      </c>
      <c r="L343" s="155" t="s">
        <v>666</v>
      </c>
    </row>
    <row r="344" spans="1:12" s="113" customFormat="1" ht="25.2" hidden="1" customHeight="1">
      <c r="A344" s="108">
        <f>SUBTOTAL(103,$B$2:B344)*1</f>
        <v>255</v>
      </c>
      <c r="B344" s="109" t="s">
        <v>575</v>
      </c>
      <c r="C344" s="177" t="s">
        <v>413</v>
      </c>
      <c r="D344" s="108"/>
      <c r="E344" s="110"/>
      <c r="F344" s="123">
        <v>50</v>
      </c>
      <c r="G344" s="120"/>
      <c r="H344" s="108" t="s">
        <v>125</v>
      </c>
      <c r="I344" s="104" t="str">
        <f t="shared" si="22"/>
        <v/>
      </c>
      <c r="J344" s="111" t="s">
        <v>13</v>
      </c>
      <c r="K344" s="121" t="s">
        <v>993</v>
      </c>
      <c r="L344" s="155" t="s">
        <v>666</v>
      </c>
    </row>
    <row r="345" spans="1:12" s="113" customFormat="1" ht="25.2" hidden="1" customHeight="1">
      <c r="A345" s="108">
        <f>SUBTOTAL(103,$B$2:B345)*1</f>
        <v>255</v>
      </c>
      <c r="B345" s="109" t="s">
        <v>575</v>
      </c>
      <c r="C345" s="177" t="s">
        <v>414</v>
      </c>
      <c r="D345" s="108"/>
      <c r="E345" s="110"/>
      <c r="F345" s="123">
        <v>18</v>
      </c>
      <c r="G345" s="120"/>
      <c r="H345" s="108" t="s">
        <v>125</v>
      </c>
      <c r="I345" s="104" t="str">
        <f t="shared" si="22"/>
        <v/>
      </c>
      <c r="J345" s="111" t="s">
        <v>13</v>
      </c>
      <c r="K345" s="121" t="s">
        <v>993</v>
      </c>
      <c r="L345" s="155" t="s">
        <v>666</v>
      </c>
    </row>
    <row r="346" spans="1:12" s="113" customFormat="1" ht="25.2" customHeight="1">
      <c r="A346" s="132">
        <f>SUBTOTAL(103,$B$2:B346)*1</f>
        <v>256</v>
      </c>
      <c r="B346" s="127" t="s">
        <v>574</v>
      </c>
      <c r="C346" s="191" t="s">
        <v>411</v>
      </c>
      <c r="D346" s="132"/>
      <c r="E346" s="110"/>
      <c r="F346" s="216">
        <v>200</v>
      </c>
      <c r="G346" s="217">
        <v>133.46899999999999</v>
      </c>
      <c r="H346" s="132" t="s">
        <v>125</v>
      </c>
      <c r="I346" s="149" t="str">
        <f t="shared" si="22"/>
        <v>Pass</v>
      </c>
      <c r="J346" s="111" t="s">
        <v>13</v>
      </c>
      <c r="K346" s="121" t="s">
        <v>993</v>
      </c>
      <c r="L346" s="155" t="s">
        <v>665</v>
      </c>
    </row>
    <row r="347" spans="1:12" s="113" customFormat="1" ht="25.2" customHeight="1">
      <c r="A347" s="132">
        <f>SUBTOTAL(103,$B$2:B347)*1</f>
        <v>257</v>
      </c>
      <c r="B347" s="127" t="s">
        <v>574</v>
      </c>
      <c r="C347" s="191" t="s">
        <v>412</v>
      </c>
      <c r="D347" s="132"/>
      <c r="E347" s="110"/>
      <c r="F347" s="216">
        <v>80</v>
      </c>
      <c r="G347" s="217">
        <v>38.704000000000001</v>
      </c>
      <c r="H347" s="132" t="s">
        <v>125</v>
      </c>
      <c r="I347" s="149" t="str">
        <f t="shared" si="22"/>
        <v>Pass</v>
      </c>
      <c r="J347" s="111" t="s">
        <v>13</v>
      </c>
      <c r="K347" s="121" t="s">
        <v>993</v>
      </c>
      <c r="L347" s="155" t="s">
        <v>665</v>
      </c>
    </row>
    <row r="348" spans="1:12" s="113" customFormat="1" ht="25.2" customHeight="1">
      <c r="A348" s="132">
        <f>SUBTOTAL(103,$B$2:B348)*1</f>
        <v>258</v>
      </c>
      <c r="B348" s="127" t="s">
        <v>574</v>
      </c>
      <c r="C348" s="191" t="s">
        <v>413</v>
      </c>
      <c r="D348" s="132"/>
      <c r="E348" s="110"/>
      <c r="F348" s="216">
        <v>40</v>
      </c>
      <c r="G348" s="217">
        <v>24.385000000000002</v>
      </c>
      <c r="H348" s="132" t="s">
        <v>125</v>
      </c>
      <c r="I348" s="149" t="str">
        <f t="shared" si="22"/>
        <v>Pass</v>
      </c>
      <c r="J348" s="111" t="s">
        <v>13</v>
      </c>
      <c r="K348" s="121" t="s">
        <v>993</v>
      </c>
      <c r="L348" s="155" t="s">
        <v>665</v>
      </c>
    </row>
    <row r="349" spans="1:12" s="113" customFormat="1" ht="25.2" customHeight="1">
      <c r="A349" s="132">
        <f>SUBTOTAL(103,$B$2:B349)*1</f>
        <v>259</v>
      </c>
      <c r="B349" s="127" t="s">
        <v>574</v>
      </c>
      <c r="C349" s="191" t="s">
        <v>414</v>
      </c>
      <c r="D349" s="132"/>
      <c r="E349" s="110"/>
      <c r="F349" s="216">
        <v>13</v>
      </c>
      <c r="G349" s="217">
        <v>10.175000000000001</v>
      </c>
      <c r="H349" s="132" t="s">
        <v>125</v>
      </c>
      <c r="I349" s="149" t="str">
        <f t="shared" si="22"/>
        <v>Pass</v>
      </c>
      <c r="J349" s="111" t="s">
        <v>13</v>
      </c>
      <c r="K349" s="121" t="s">
        <v>993</v>
      </c>
      <c r="L349" s="155" t="s">
        <v>665</v>
      </c>
    </row>
    <row r="350" spans="1:12" s="113" customFormat="1" ht="25.2" hidden="1" customHeight="1">
      <c r="A350" s="108">
        <f>SUBTOTAL(103,$B$2:B350)*1</f>
        <v>259</v>
      </c>
      <c r="B350" s="109" t="s">
        <v>289</v>
      </c>
      <c r="C350" s="169" t="s">
        <v>567</v>
      </c>
      <c r="D350" s="148"/>
      <c r="E350" s="110"/>
      <c r="F350" s="173">
        <v>2</v>
      </c>
      <c r="G350" s="102"/>
      <c r="H350" s="108" t="s">
        <v>34</v>
      </c>
      <c r="I350" s="104" t="str">
        <f t="shared" si="22"/>
        <v/>
      </c>
      <c r="J350" s="111" t="s">
        <v>13</v>
      </c>
      <c r="K350" s="121" t="s">
        <v>993</v>
      </c>
      <c r="L350" s="112" t="s">
        <v>748</v>
      </c>
    </row>
    <row r="351" spans="1:12" s="113" customFormat="1" ht="25.2" hidden="1" customHeight="1">
      <c r="A351" s="108">
        <f>SUBTOTAL(103,$B$2:B351)*1</f>
        <v>259</v>
      </c>
      <c r="B351" s="109" t="s">
        <v>289</v>
      </c>
      <c r="C351" s="169" t="s">
        <v>568</v>
      </c>
      <c r="D351" s="148"/>
      <c r="E351" s="110"/>
      <c r="F351" s="173">
        <v>2</v>
      </c>
      <c r="G351" s="102"/>
      <c r="H351" s="108" t="s">
        <v>34</v>
      </c>
      <c r="I351" s="104" t="str">
        <f t="shared" si="22"/>
        <v/>
      </c>
      <c r="J351" s="111" t="s">
        <v>13</v>
      </c>
      <c r="K351" s="121" t="s">
        <v>993</v>
      </c>
      <c r="L351" s="112" t="s">
        <v>748</v>
      </c>
    </row>
    <row r="352" spans="1:12" s="113" customFormat="1" ht="25.2" customHeight="1">
      <c r="A352" s="108">
        <f>SUBTOTAL(103,$B$2:B352)*1</f>
        <v>260</v>
      </c>
      <c r="B352" s="109" t="s">
        <v>293</v>
      </c>
      <c r="C352" s="169" t="s">
        <v>491</v>
      </c>
      <c r="D352" s="148"/>
      <c r="E352" s="110"/>
      <c r="F352" s="173">
        <v>2</v>
      </c>
      <c r="G352" s="102">
        <v>0.36499999999999999</v>
      </c>
      <c r="H352" s="108" t="s">
        <v>34</v>
      </c>
      <c r="I352" s="104" t="str">
        <f t="shared" si="22"/>
        <v>Pass</v>
      </c>
      <c r="J352" s="111" t="s">
        <v>13</v>
      </c>
      <c r="K352" s="121" t="s">
        <v>993</v>
      </c>
      <c r="L352" s="112" t="s">
        <v>748</v>
      </c>
    </row>
    <row r="353" spans="1:12" s="113" customFormat="1" ht="25.2" customHeight="1">
      <c r="A353" s="108">
        <f>SUBTOTAL(103,$B$2:B353)*1</f>
        <v>261</v>
      </c>
      <c r="B353" s="109" t="s">
        <v>293</v>
      </c>
      <c r="C353" s="169" t="s">
        <v>191</v>
      </c>
      <c r="D353" s="148"/>
      <c r="E353" s="110"/>
      <c r="F353" s="173">
        <v>2</v>
      </c>
      <c r="G353" s="102">
        <v>0.51200000000000001</v>
      </c>
      <c r="H353" s="108" t="s">
        <v>34</v>
      </c>
      <c r="I353" s="104" t="str">
        <f t="shared" si="22"/>
        <v>Pass</v>
      </c>
      <c r="J353" s="111" t="s">
        <v>13</v>
      </c>
      <c r="K353" s="121" t="s">
        <v>993</v>
      </c>
      <c r="L353" s="112" t="s">
        <v>748</v>
      </c>
    </row>
    <row r="354" spans="1:12" s="113" customFormat="1" ht="25.2" hidden="1" customHeight="1">
      <c r="A354" s="108">
        <f>SUBTOTAL(103,$B$2:B354)*1</f>
        <v>261</v>
      </c>
      <c r="B354" s="109" t="s">
        <v>289</v>
      </c>
      <c r="C354" s="177" t="s">
        <v>834</v>
      </c>
      <c r="D354" s="108"/>
      <c r="E354" s="110">
        <v>10</v>
      </c>
      <c r="F354" s="108"/>
      <c r="G354" s="102"/>
      <c r="H354" s="108" t="s">
        <v>34</v>
      </c>
      <c r="I354" s="104" t="str">
        <f>IF(G354="","",IF(G354=E354,"Pass","Fail"))</f>
        <v/>
      </c>
      <c r="J354" s="147" t="s">
        <v>6</v>
      </c>
      <c r="K354" s="147"/>
      <c r="L354" s="112" t="s">
        <v>870</v>
      </c>
    </row>
    <row r="355" spans="1:12" s="113" customFormat="1" ht="25.2" hidden="1" customHeight="1">
      <c r="A355" s="108">
        <f>SUBTOTAL(103,$B$2:B355)*1</f>
        <v>261</v>
      </c>
      <c r="B355" s="109" t="s">
        <v>289</v>
      </c>
      <c r="C355" s="177" t="s">
        <v>835</v>
      </c>
      <c r="D355" s="108">
        <v>5</v>
      </c>
      <c r="E355" s="110"/>
      <c r="F355" s="108"/>
      <c r="G355" s="102"/>
      <c r="H355" s="108" t="s">
        <v>34</v>
      </c>
      <c r="I355" s="104" t="str">
        <f>IF(G355="","",IF(G355&gt;=D355,"Pass","Fail"))</f>
        <v/>
      </c>
      <c r="J355" s="147" t="s">
        <v>6</v>
      </c>
      <c r="K355" s="147"/>
      <c r="L355" s="112" t="s">
        <v>870</v>
      </c>
    </row>
    <row r="356" spans="1:12" s="113" customFormat="1" ht="25.2" hidden="1" customHeight="1">
      <c r="A356" s="108">
        <f>SUBTOTAL(103,$B$2:B356)*1</f>
        <v>261</v>
      </c>
      <c r="B356" s="109" t="s">
        <v>289</v>
      </c>
      <c r="C356" s="177" t="s">
        <v>836</v>
      </c>
      <c r="D356" s="108"/>
      <c r="E356" s="119"/>
      <c r="F356" s="108">
        <v>-5</v>
      </c>
      <c r="G356" s="102"/>
      <c r="H356" s="108" t="s">
        <v>34</v>
      </c>
      <c r="I356" s="104" t="str">
        <f>IF(G356="","",IF(AND(G356&lt;=F356),"Pass","Fail"))</f>
        <v/>
      </c>
      <c r="J356" s="147" t="s">
        <v>6</v>
      </c>
      <c r="K356" s="147"/>
      <c r="L356" s="112" t="s">
        <v>870</v>
      </c>
    </row>
    <row r="357" spans="1:12" s="113" customFormat="1" ht="25.2" hidden="1" customHeight="1">
      <c r="A357" s="108">
        <f>SUBTOTAL(103,$B$2:B357)*1</f>
        <v>261</v>
      </c>
      <c r="B357" s="109" t="s">
        <v>289</v>
      </c>
      <c r="C357" s="177" t="s">
        <v>837</v>
      </c>
      <c r="D357" s="108">
        <v>10</v>
      </c>
      <c r="E357" s="119"/>
      <c r="F357" s="108"/>
      <c r="G357" s="102"/>
      <c r="H357" s="108" t="s">
        <v>141</v>
      </c>
      <c r="I357" s="104" t="str">
        <f>IF(G357="","",IF(G357&gt;=D357,"Pass","Fail"))</f>
        <v/>
      </c>
      <c r="J357" s="147" t="s">
        <v>6</v>
      </c>
      <c r="K357" s="147"/>
      <c r="L357" s="112" t="s">
        <v>870</v>
      </c>
    </row>
    <row r="358" spans="1:12" s="113" customFormat="1" ht="25.2" customHeight="1">
      <c r="A358" s="108">
        <f>SUBTOTAL(103,$B$2:B358)*1</f>
        <v>262</v>
      </c>
      <c r="B358" s="109" t="s">
        <v>293</v>
      </c>
      <c r="C358" s="177" t="s">
        <v>838</v>
      </c>
      <c r="D358" s="108"/>
      <c r="E358" s="110">
        <v>50</v>
      </c>
      <c r="F358" s="108"/>
      <c r="G358" s="102">
        <v>50</v>
      </c>
      <c r="H358" s="108" t="s">
        <v>34</v>
      </c>
      <c r="I358" s="104" t="str">
        <f>IF(G358="","",IF(G358=E358,"Pass","Fail"))</f>
        <v>Pass</v>
      </c>
      <c r="J358" s="147" t="s">
        <v>6</v>
      </c>
      <c r="K358" s="147"/>
      <c r="L358" s="112" t="s">
        <v>870</v>
      </c>
    </row>
    <row r="359" spans="1:12" s="113" customFormat="1" ht="25.2" customHeight="1">
      <c r="A359" s="108">
        <f>SUBTOTAL(103,$B$2:B359)*1</f>
        <v>263</v>
      </c>
      <c r="B359" s="109" t="s">
        <v>293</v>
      </c>
      <c r="C359" s="177" t="s">
        <v>835</v>
      </c>
      <c r="D359" s="129">
        <v>25</v>
      </c>
      <c r="E359" s="174"/>
      <c r="F359" s="108"/>
      <c r="G359" s="102">
        <v>25.5</v>
      </c>
      <c r="H359" s="108" t="s">
        <v>34</v>
      </c>
      <c r="I359" s="104" t="str">
        <f>IF(G359="","",IF(G359&gt;=D359,"Pass","Fail"))</f>
        <v>Pass</v>
      </c>
      <c r="J359" s="147" t="s">
        <v>6</v>
      </c>
      <c r="K359" s="147"/>
      <c r="L359" s="112" t="s">
        <v>870</v>
      </c>
    </row>
    <row r="360" spans="1:12" s="113" customFormat="1" ht="25.2" customHeight="1">
      <c r="A360" s="108">
        <f>SUBTOTAL(103,$B$2:B360)*1</f>
        <v>264</v>
      </c>
      <c r="B360" s="109" t="s">
        <v>293</v>
      </c>
      <c r="C360" s="177" t="s">
        <v>836</v>
      </c>
      <c r="D360" s="108"/>
      <c r="E360" s="119"/>
      <c r="F360" s="129">
        <v>-25</v>
      </c>
      <c r="G360" s="125" t="s">
        <v>1716</v>
      </c>
      <c r="H360" s="108" t="s">
        <v>34</v>
      </c>
      <c r="I360" s="104" t="s">
        <v>1717</v>
      </c>
      <c r="J360" s="147" t="s">
        <v>6</v>
      </c>
      <c r="K360" s="147"/>
      <c r="L360" s="112" t="s">
        <v>870</v>
      </c>
    </row>
    <row r="361" spans="1:12" s="113" customFormat="1" ht="25.2" customHeight="1">
      <c r="A361" s="108">
        <f>SUBTOTAL(103,$B$2:B361)*1</f>
        <v>265</v>
      </c>
      <c r="B361" s="109" t="s">
        <v>293</v>
      </c>
      <c r="C361" s="177" t="s">
        <v>837</v>
      </c>
      <c r="D361" s="108">
        <v>50</v>
      </c>
      <c r="E361" s="119"/>
      <c r="F361" s="108"/>
      <c r="G361" s="130">
        <v>51</v>
      </c>
      <c r="H361" s="108" t="s">
        <v>141</v>
      </c>
      <c r="I361" s="104" t="str">
        <f>IF(G361="","",IF(G361&gt;=D361,"Pass","Fail"))</f>
        <v>Pass</v>
      </c>
      <c r="J361" s="147" t="s">
        <v>6</v>
      </c>
      <c r="K361" s="147"/>
      <c r="L361" s="112" t="s">
        <v>870</v>
      </c>
    </row>
    <row r="362" spans="1:12" s="113" customFormat="1" ht="25.2" customHeight="1">
      <c r="A362" s="108">
        <f>SUBTOTAL(103,$B$2:B362)*1</f>
        <v>266</v>
      </c>
      <c r="B362" s="109" t="s">
        <v>1334</v>
      </c>
      <c r="C362" s="177" t="s">
        <v>1335</v>
      </c>
      <c r="D362" s="108"/>
      <c r="E362" s="110" t="s">
        <v>7</v>
      </c>
      <c r="F362" s="108"/>
      <c r="G362" s="102" t="s">
        <v>7</v>
      </c>
      <c r="H362" s="108" t="s">
        <v>34</v>
      </c>
      <c r="I362" s="104" t="str">
        <f t="shared" ref="I362" si="23">IF(G362="","",IF(G362=E362,"Pass","Fail"))</f>
        <v>Pass</v>
      </c>
      <c r="J362" s="111" t="s">
        <v>6</v>
      </c>
      <c r="K362" s="147"/>
      <c r="L362" s="112"/>
    </row>
    <row r="363" spans="1:12" s="113" customFormat="1" ht="25.2" customHeight="1">
      <c r="A363" s="108">
        <f>SUBTOTAL(103,$B$2:B363)*1</f>
        <v>267</v>
      </c>
      <c r="B363" s="109" t="s">
        <v>96</v>
      </c>
      <c r="C363" s="193" t="s">
        <v>1081</v>
      </c>
      <c r="D363" s="108"/>
      <c r="E363" s="110" t="s">
        <v>16</v>
      </c>
      <c r="F363" s="108"/>
      <c r="G363" s="102" t="s">
        <v>1706</v>
      </c>
      <c r="H363" s="108" t="s">
        <v>34</v>
      </c>
      <c r="I363" s="104" t="str">
        <f t="shared" ref="I363:I372" si="24">IF(G363="","",IF(G363=E363,"Pass","Fail"))</f>
        <v>Pass</v>
      </c>
      <c r="J363" s="111" t="s">
        <v>6</v>
      </c>
      <c r="K363" s="111"/>
      <c r="L363" s="112" t="s">
        <v>1085</v>
      </c>
    </row>
    <row r="364" spans="1:12" s="113" customFormat="1" ht="25.2" customHeight="1">
      <c r="A364" s="108">
        <f>SUBTOTAL(103,$B$2:B364)*1</f>
        <v>268</v>
      </c>
      <c r="B364" s="109" t="s">
        <v>96</v>
      </c>
      <c r="C364" s="193" t="s">
        <v>1082</v>
      </c>
      <c r="D364" s="108"/>
      <c r="E364" s="110" t="s">
        <v>7</v>
      </c>
      <c r="F364" s="108"/>
      <c r="G364" s="102" t="s">
        <v>1706</v>
      </c>
      <c r="H364" s="108" t="s">
        <v>34</v>
      </c>
      <c r="I364" s="104" t="str">
        <f t="shared" si="24"/>
        <v>Pass</v>
      </c>
      <c r="J364" s="111" t="s">
        <v>6</v>
      </c>
      <c r="K364" s="111"/>
      <c r="L364" s="112" t="s">
        <v>1085</v>
      </c>
    </row>
    <row r="365" spans="1:12" s="113" customFormat="1" ht="25.2" customHeight="1">
      <c r="A365" s="108">
        <f>SUBTOTAL(103,$B$2:B365)*1</f>
        <v>269</v>
      </c>
      <c r="B365" s="109" t="s">
        <v>96</v>
      </c>
      <c r="C365" s="193" t="s">
        <v>1083</v>
      </c>
      <c r="D365" s="108"/>
      <c r="E365" s="110" t="s">
        <v>16</v>
      </c>
      <c r="F365" s="108"/>
      <c r="G365" s="102" t="s">
        <v>1706</v>
      </c>
      <c r="H365" s="108" t="s">
        <v>34</v>
      </c>
      <c r="I365" s="104" t="str">
        <f>IF(G365="","",IF(G365=E365,"Pass","Fail"))</f>
        <v>Pass</v>
      </c>
      <c r="J365" s="111" t="s">
        <v>6</v>
      </c>
      <c r="K365" s="111"/>
      <c r="L365" s="112" t="s">
        <v>798</v>
      </c>
    </row>
    <row r="366" spans="1:12" s="113" customFormat="1" ht="25.2" customHeight="1">
      <c r="A366" s="108">
        <f>SUBTOTAL(103,$B$2:B366)*1</f>
        <v>270</v>
      </c>
      <c r="B366" s="109" t="s">
        <v>96</v>
      </c>
      <c r="C366" s="193" t="s">
        <v>1084</v>
      </c>
      <c r="D366" s="108"/>
      <c r="E366" s="110" t="s">
        <v>7</v>
      </c>
      <c r="F366" s="108"/>
      <c r="G366" s="102" t="s">
        <v>1706</v>
      </c>
      <c r="H366" s="108" t="s">
        <v>34</v>
      </c>
      <c r="I366" s="104" t="str">
        <f>IF(G366="","",IF(G366=E366,"Pass","Fail"))</f>
        <v>Pass</v>
      </c>
      <c r="J366" s="111" t="s">
        <v>6</v>
      </c>
      <c r="K366" s="111"/>
      <c r="L366" s="112" t="s">
        <v>798</v>
      </c>
    </row>
    <row r="367" spans="1:12" s="113" customFormat="1" ht="25.2" customHeight="1">
      <c r="A367" s="108">
        <f>SUBTOTAL(103,$B$2:B367)*1</f>
        <v>271</v>
      </c>
      <c r="B367" s="109" t="s">
        <v>96</v>
      </c>
      <c r="C367" s="193" t="s">
        <v>1578</v>
      </c>
      <c r="D367" s="108"/>
      <c r="E367" s="110" t="s">
        <v>7</v>
      </c>
      <c r="F367" s="108"/>
      <c r="G367" s="102" t="s">
        <v>1706</v>
      </c>
      <c r="H367" s="108" t="s">
        <v>34</v>
      </c>
      <c r="I367" s="104" t="str">
        <f t="shared" si="24"/>
        <v>Pass</v>
      </c>
      <c r="J367" s="111" t="s">
        <v>6</v>
      </c>
      <c r="K367" s="111"/>
      <c r="L367" s="112"/>
    </row>
    <row r="368" spans="1:12" s="113" customFormat="1" ht="25.2" customHeight="1">
      <c r="A368" s="108">
        <f>SUBTOTAL(103,$B$2:B368)*1</f>
        <v>272</v>
      </c>
      <c r="B368" s="109" t="s">
        <v>96</v>
      </c>
      <c r="C368" s="193" t="s">
        <v>1579</v>
      </c>
      <c r="D368" s="108"/>
      <c r="E368" s="110" t="s">
        <v>7</v>
      </c>
      <c r="F368" s="108"/>
      <c r="G368" s="102" t="s">
        <v>1706</v>
      </c>
      <c r="H368" s="108" t="s">
        <v>34</v>
      </c>
      <c r="I368" s="104" t="str">
        <f t="shared" si="24"/>
        <v>Pass</v>
      </c>
      <c r="J368" s="111" t="s">
        <v>6</v>
      </c>
      <c r="K368" s="111"/>
      <c r="L368" s="112" t="s">
        <v>1085</v>
      </c>
    </row>
    <row r="369" spans="1:12" s="113" customFormat="1" ht="25.2" customHeight="1">
      <c r="A369" s="108">
        <f>SUBTOTAL(103,$B$2:B369)*1</f>
        <v>273</v>
      </c>
      <c r="B369" s="109" t="s">
        <v>96</v>
      </c>
      <c r="C369" s="209" t="s">
        <v>423</v>
      </c>
      <c r="D369" s="108"/>
      <c r="E369" s="110" t="s">
        <v>1718</v>
      </c>
      <c r="F369" s="108"/>
      <c r="G369" s="102" t="s">
        <v>1718</v>
      </c>
      <c r="H369" s="108" t="s">
        <v>131</v>
      </c>
      <c r="I369" s="104" t="str">
        <f t="shared" si="24"/>
        <v>Pass</v>
      </c>
      <c r="J369" s="111" t="s">
        <v>6</v>
      </c>
      <c r="K369" s="111"/>
      <c r="L369" s="112"/>
    </row>
    <row r="370" spans="1:12" s="113" customFormat="1" ht="25.2" customHeight="1">
      <c r="A370" s="108">
        <f>SUBTOTAL(103,$B$2:B370)*1</f>
        <v>274</v>
      </c>
      <c r="B370" s="109" t="s">
        <v>96</v>
      </c>
      <c r="C370" s="177" t="s">
        <v>425</v>
      </c>
      <c r="D370" s="108"/>
      <c r="E370" s="110" t="s">
        <v>168</v>
      </c>
      <c r="F370" s="108"/>
      <c r="G370" s="135" t="s">
        <v>1719</v>
      </c>
      <c r="H370" s="108" t="s">
        <v>34</v>
      </c>
      <c r="I370" s="104" t="str">
        <f t="shared" si="24"/>
        <v>Pass</v>
      </c>
      <c r="J370" s="111" t="s">
        <v>6</v>
      </c>
      <c r="K370" s="111"/>
      <c r="L370" s="112"/>
    </row>
    <row r="371" spans="1:12" s="113" customFormat="1" ht="25.2" customHeight="1">
      <c r="A371" s="108">
        <f>SUBTOTAL(103,$B$2:B371)*1</f>
        <v>275</v>
      </c>
      <c r="B371" s="109" t="s">
        <v>96</v>
      </c>
      <c r="C371" s="209" t="s">
        <v>359</v>
      </c>
      <c r="D371" s="108"/>
      <c r="E371" s="110" t="s">
        <v>1720</v>
      </c>
      <c r="F371" s="108"/>
      <c r="G371" s="102" t="s">
        <v>1720</v>
      </c>
      <c r="H371" s="108" t="s">
        <v>131</v>
      </c>
      <c r="I371" s="104" t="str">
        <f t="shared" si="24"/>
        <v>Pass</v>
      </c>
      <c r="J371" s="111" t="s">
        <v>6</v>
      </c>
      <c r="K371" s="111"/>
      <c r="L371" s="112" t="s">
        <v>732</v>
      </c>
    </row>
    <row r="372" spans="1:12" s="113" customFormat="1" ht="25.2" customHeight="1">
      <c r="A372" s="108">
        <f>SUBTOTAL(103,$B$2:B372)*1</f>
        <v>276</v>
      </c>
      <c r="B372" s="109" t="s">
        <v>96</v>
      </c>
      <c r="C372" s="177" t="s">
        <v>426</v>
      </c>
      <c r="D372" s="108"/>
      <c r="E372" s="110">
        <v>0.7</v>
      </c>
      <c r="F372" s="108"/>
      <c r="G372" s="102">
        <v>0.7</v>
      </c>
      <c r="H372" s="108" t="s">
        <v>34</v>
      </c>
      <c r="I372" s="104" t="str">
        <f t="shared" si="24"/>
        <v>Pass</v>
      </c>
      <c r="J372" s="111" t="s">
        <v>6</v>
      </c>
      <c r="K372" s="111"/>
      <c r="L372" s="112"/>
    </row>
    <row r="373" spans="1:12" s="113" customFormat="1" ht="25.2" customHeight="1">
      <c r="A373" s="108">
        <f>SUBTOTAL(103,$B$2:B373)*1</f>
        <v>277</v>
      </c>
      <c r="B373" s="109" t="s">
        <v>96</v>
      </c>
      <c r="C373" s="209" t="s">
        <v>100</v>
      </c>
      <c r="D373" s="108"/>
      <c r="E373" s="110" t="s">
        <v>1723</v>
      </c>
      <c r="F373" s="108"/>
      <c r="G373" s="102" t="s">
        <v>1724</v>
      </c>
      <c r="H373" s="108" t="s">
        <v>131</v>
      </c>
      <c r="I373" s="104" t="s">
        <v>1717</v>
      </c>
      <c r="J373" s="111" t="s">
        <v>6</v>
      </c>
      <c r="K373" s="111"/>
      <c r="L373" s="112" t="s">
        <v>519</v>
      </c>
    </row>
    <row r="374" spans="1:12" s="113" customFormat="1" ht="25.2" customHeight="1">
      <c r="A374" s="108">
        <f>SUBTOTAL(103,$B$2:B374)*1</f>
        <v>278</v>
      </c>
      <c r="B374" s="109" t="s">
        <v>96</v>
      </c>
      <c r="C374" s="209" t="s">
        <v>356</v>
      </c>
      <c r="D374" s="108"/>
      <c r="E374" s="110" t="s">
        <v>1723</v>
      </c>
      <c r="F374" s="108"/>
      <c r="G374" s="102" t="s">
        <v>1724</v>
      </c>
      <c r="H374" s="108" t="s">
        <v>131</v>
      </c>
      <c r="I374" s="104" t="s">
        <v>1717</v>
      </c>
      <c r="J374" s="111" t="s">
        <v>6</v>
      </c>
      <c r="K374" s="111"/>
      <c r="L374" s="112" t="s">
        <v>519</v>
      </c>
    </row>
    <row r="375" spans="1:12" s="113" customFormat="1" ht="25.2" customHeight="1">
      <c r="A375" s="108">
        <f>SUBTOTAL(103,$B$2:B375)*1</f>
        <v>279</v>
      </c>
      <c r="B375" s="109" t="s">
        <v>96</v>
      </c>
      <c r="C375" s="209" t="s">
        <v>357</v>
      </c>
      <c r="D375" s="108"/>
      <c r="E375" s="110" t="s">
        <v>1722</v>
      </c>
      <c r="F375" s="108"/>
      <c r="G375" s="102" t="s">
        <v>1722</v>
      </c>
      <c r="H375" s="108" t="s">
        <v>131</v>
      </c>
      <c r="I375" s="104" t="str">
        <f t="shared" ref="I375:I382" si="25">IF(G375="","",IF(G375=E375,"Pass","Fail"))</f>
        <v>Pass</v>
      </c>
      <c r="J375" s="111" t="s">
        <v>6</v>
      </c>
      <c r="K375" s="111"/>
      <c r="L375" s="112"/>
    </row>
    <row r="376" spans="1:12" s="113" customFormat="1" ht="25.2" customHeight="1">
      <c r="A376" s="108">
        <f>SUBTOTAL(103,$B$2:B376)*1</f>
        <v>280</v>
      </c>
      <c r="B376" s="109" t="s">
        <v>96</v>
      </c>
      <c r="C376" s="209" t="s">
        <v>358</v>
      </c>
      <c r="D376" s="108"/>
      <c r="E376" s="110" t="s">
        <v>170</v>
      </c>
      <c r="F376" s="108"/>
      <c r="G376" s="102" t="s">
        <v>1721</v>
      </c>
      <c r="H376" s="108" t="s">
        <v>131</v>
      </c>
      <c r="I376" s="104" t="str">
        <f t="shared" si="25"/>
        <v>Pass</v>
      </c>
      <c r="J376" s="111" t="s">
        <v>6</v>
      </c>
      <c r="K376" s="111"/>
      <c r="L376" s="112"/>
    </row>
    <row r="377" spans="1:12" s="113" customFormat="1" ht="25.2" customHeight="1">
      <c r="A377" s="108">
        <f>SUBTOTAL(103,$B$2:B377)*1</f>
        <v>281</v>
      </c>
      <c r="B377" s="109" t="s">
        <v>96</v>
      </c>
      <c r="C377" s="177" t="s">
        <v>427</v>
      </c>
      <c r="D377" s="123"/>
      <c r="E377" s="123">
        <v>1.3</v>
      </c>
      <c r="F377" s="108"/>
      <c r="G377" s="130">
        <v>1.3</v>
      </c>
      <c r="H377" s="108" t="s">
        <v>131</v>
      </c>
      <c r="I377" s="104" t="str">
        <f t="shared" si="25"/>
        <v>Pass</v>
      </c>
      <c r="J377" s="111" t="s">
        <v>6</v>
      </c>
      <c r="K377" s="111"/>
      <c r="L377" s="115"/>
    </row>
    <row r="378" spans="1:12" s="113" customFormat="1" ht="25.2" customHeight="1">
      <c r="A378" s="132">
        <f>SUBTOTAL(103,$B$2:B378)*1</f>
        <v>282</v>
      </c>
      <c r="B378" s="127" t="s">
        <v>96</v>
      </c>
      <c r="C378" s="162" t="s">
        <v>99</v>
      </c>
      <c r="D378" s="132"/>
      <c r="E378" s="110" t="s">
        <v>7</v>
      </c>
      <c r="F378" s="132"/>
      <c r="G378" s="182" t="s">
        <v>7</v>
      </c>
      <c r="H378" s="132" t="s">
        <v>34</v>
      </c>
      <c r="I378" s="149" t="str">
        <f t="shared" si="25"/>
        <v>Pass</v>
      </c>
      <c r="J378" s="111" t="s">
        <v>13</v>
      </c>
      <c r="K378" s="111"/>
      <c r="L378" s="112"/>
    </row>
    <row r="379" spans="1:12" s="113" customFormat="1" ht="25.2" customHeight="1">
      <c r="A379" s="108">
        <f>SUBTOTAL(103,$B$2:B379)*1</f>
        <v>283</v>
      </c>
      <c r="B379" s="109" t="s">
        <v>96</v>
      </c>
      <c r="C379" s="169" t="s">
        <v>1318</v>
      </c>
      <c r="D379" s="108"/>
      <c r="E379" s="110">
        <v>0.5</v>
      </c>
      <c r="F379" s="108"/>
      <c r="G379" s="102">
        <v>0.5</v>
      </c>
      <c r="H379" s="108" t="s">
        <v>126</v>
      </c>
      <c r="I379" s="104" t="str">
        <f t="shared" si="25"/>
        <v>Pass</v>
      </c>
      <c r="J379" s="111" t="s">
        <v>6</v>
      </c>
      <c r="K379" s="111"/>
      <c r="L379" s="112" t="s">
        <v>1325</v>
      </c>
    </row>
    <row r="380" spans="1:12" s="113" customFormat="1" ht="25.2" customHeight="1">
      <c r="A380" s="108">
        <f>SUBTOTAL(103,$B$2:B380)*1</f>
        <v>284</v>
      </c>
      <c r="B380" s="109" t="s">
        <v>96</v>
      </c>
      <c r="C380" s="169" t="s">
        <v>1320</v>
      </c>
      <c r="D380" s="108"/>
      <c r="E380" s="110">
        <v>6</v>
      </c>
      <c r="F380" s="108"/>
      <c r="G380" s="102">
        <v>6</v>
      </c>
      <c r="H380" s="108" t="s">
        <v>126</v>
      </c>
      <c r="I380" s="104" t="str">
        <f t="shared" si="25"/>
        <v>Pass</v>
      </c>
      <c r="J380" s="111" t="s">
        <v>6</v>
      </c>
      <c r="K380" s="111"/>
      <c r="L380" s="112" t="s">
        <v>1326</v>
      </c>
    </row>
    <row r="381" spans="1:12" s="113" customFormat="1" ht="25.2" customHeight="1">
      <c r="A381" s="108">
        <f>SUBTOTAL(103,$B$2:B381)*1</f>
        <v>285</v>
      </c>
      <c r="B381" s="109" t="s">
        <v>96</v>
      </c>
      <c r="C381" s="169" t="s">
        <v>1322</v>
      </c>
      <c r="D381" s="108"/>
      <c r="E381" s="110">
        <v>0.15</v>
      </c>
      <c r="F381" s="108"/>
      <c r="G381" s="102">
        <v>0.15</v>
      </c>
      <c r="H381" s="108" t="s">
        <v>34</v>
      </c>
      <c r="I381" s="104" t="str">
        <f t="shared" si="25"/>
        <v>Pass</v>
      </c>
      <c r="J381" s="111" t="s">
        <v>6</v>
      </c>
      <c r="K381" s="111"/>
      <c r="L381" s="112" t="s">
        <v>1327</v>
      </c>
    </row>
    <row r="382" spans="1:12" s="113" customFormat="1" ht="25.2" customHeight="1">
      <c r="A382" s="108">
        <f>SUBTOTAL(103,$B$2:B382)*1</f>
        <v>286</v>
      </c>
      <c r="B382" s="109" t="s">
        <v>96</v>
      </c>
      <c r="C382" s="169" t="s">
        <v>1324</v>
      </c>
      <c r="D382" s="108"/>
      <c r="E382" s="110">
        <v>1</v>
      </c>
      <c r="F382" s="108"/>
      <c r="G382" s="102">
        <v>1</v>
      </c>
      <c r="H382" s="108" t="s">
        <v>34</v>
      </c>
      <c r="I382" s="104" t="str">
        <f t="shared" si="25"/>
        <v>Pass</v>
      </c>
      <c r="J382" s="111" t="s">
        <v>6</v>
      </c>
      <c r="K382" s="111"/>
      <c r="L382" s="112" t="s">
        <v>1328</v>
      </c>
    </row>
    <row r="383" spans="1:12" s="113" customFormat="1" ht="25.2" customHeight="1">
      <c r="A383" s="108">
        <f>SUBTOTAL(103,$B$2:B383)*1</f>
        <v>287</v>
      </c>
      <c r="B383" s="109" t="s">
        <v>101</v>
      </c>
      <c r="C383" s="209" t="s">
        <v>102</v>
      </c>
      <c r="D383" s="108"/>
      <c r="E383" s="110">
        <v>8</v>
      </c>
      <c r="F383" s="108"/>
      <c r="G383" s="102">
        <v>8</v>
      </c>
      <c r="H383" s="108" t="s">
        <v>142</v>
      </c>
      <c r="I383" s="104" t="str">
        <f>IF(G383="","",IF(G383=E383,"Pass",""))</f>
        <v>Pass</v>
      </c>
      <c r="J383" s="111" t="s">
        <v>6</v>
      </c>
      <c r="K383" s="111"/>
      <c r="L383" s="112"/>
    </row>
    <row r="384" spans="1:12" s="113" customFormat="1" ht="25.2" customHeight="1">
      <c r="A384" s="108">
        <f>SUBTOTAL(103,$B$2:B384)*1</f>
        <v>288</v>
      </c>
      <c r="B384" s="109" t="s">
        <v>101</v>
      </c>
      <c r="C384" s="209" t="s">
        <v>958</v>
      </c>
      <c r="D384" s="108"/>
      <c r="E384" s="110"/>
      <c r="F384" s="108"/>
      <c r="G384" s="130">
        <v>15</v>
      </c>
      <c r="H384" s="108" t="s">
        <v>143</v>
      </c>
      <c r="I384" s="104" t="s">
        <v>1717</v>
      </c>
      <c r="J384" s="111" t="s">
        <v>6</v>
      </c>
      <c r="K384" s="121" t="s">
        <v>993</v>
      </c>
      <c r="L384" s="112" t="s">
        <v>1086</v>
      </c>
    </row>
    <row r="385" spans="1:12" s="113" customFormat="1" ht="25.2" customHeight="1">
      <c r="A385" s="108">
        <f>SUBTOTAL(103,$B$2:B385)*1</f>
        <v>289</v>
      </c>
      <c r="B385" s="109" t="s">
        <v>101</v>
      </c>
      <c r="C385" s="209" t="s">
        <v>959</v>
      </c>
      <c r="D385" s="148"/>
      <c r="E385" s="110"/>
      <c r="F385" s="173">
        <v>0.25</v>
      </c>
      <c r="G385" s="102">
        <v>0.17399999999999999</v>
      </c>
      <c r="H385" s="108" t="s">
        <v>125</v>
      </c>
      <c r="I385" s="104" t="str">
        <f t="shared" ref="I385:I390" si="26">IF(G385="","",IF(AND(G385&lt;=F385),"Pass","Fail"))</f>
        <v>Pass</v>
      </c>
      <c r="J385" s="147" t="s">
        <v>13</v>
      </c>
      <c r="K385" s="121" t="s">
        <v>993</v>
      </c>
      <c r="L385" s="112" t="s">
        <v>1087</v>
      </c>
    </row>
    <row r="386" spans="1:12" s="113" customFormat="1" ht="25.2" customHeight="1">
      <c r="A386" s="108">
        <f>SUBTOTAL(103,$B$2:B386)*1</f>
        <v>290</v>
      </c>
      <c r="B386" s="109" t="s">
        <v>101</v>
      </c>
      <c r="C386" s="209" t="s">
        <v>428</v>
      </c>
      <c r="D386" s="148"/>
      <c r="E386" s="110"/>
      <c r="F386" s="159">
        <v>0.1</v>
      </c>
      <c r="G386" s="102">
        <v>2.5999999999999999E-2</v>
      </c>
      <c r="H386" s="108" t="s">
        <v>34</v>
      </c>
      <c r="I386" s="104" t="str">
        <f t="shared" si="26"/>
        <v>Pass</v>
      </c>
      <c r="J386" s="111" t="s">
        <v>13</v>
      </c>
      <c r="K386" s="121" t="s">
        <v>993</v>
      </c>
      <c r="L386" s="112" t="s">
        <v>103</v>
      </c>
    </row>
    <row r="387" spans="1:12" s="113" customFormat="1" ht="25.2" customHeight="1">
      <c r="A387" s="108">
        <f>SUBTOTAL(103,$B$2:B387)*1</f>
        <v>291</v>
      </c>
      <c r="B387" s="168" t="s">
        <v>713</v>
      </c>
      <c r="C387" s="209" t="s">
        <v>104</v>
      </c>
      <c r="D387" s="148"/>
      <c r="E387" s="110"/>
      <c r="F387" s="173">
        <v>0.1</v>
      </c>
      <c r="G387" s="102">
        <v>5.5E-2</v>
      </c>
      <c r="H387" s="108" t="s">
        <v>125</v>
      </c>
      <c r="I387" s="104" t="str">
        <f>IF(G387="","",IF(AND(G387&lt;=F387),"Pass","Fail"))</f>
        <v>Pass</v>
      </c>
      <c r="J387" s="111" t="s">
        <v>13</v>
      </c>
      <c r="K387" s="121" t="s">
        <v>993</v>
      </c>
      <c r="L387" s="112" t="s">
        <v>625</v>
      </c>
    </row>
    <row r="388" spans="1:12" s="113" customFormat="1" ht="25.2" hidden="1" customHeight="1">
      <c r="A388" s="108">
        <f>SUBTOTAL(103,$B$2:B388)*1</f>
        <v>291</v>
      </c>
      <c r="B388" s="168" t="s">
        <v>714</v>
      </c>
      <c r="C388" s="209" t="s">
        <v>104</v>
      </c>
      <c r="D388" s="148"/>
      <c r="E388" s="110"/>
      <c r="F388" s="173">
        <v>0.1</v>
      </c>
      <c r="G388" s="102"/>
      <c r="H388" s="108" t="s">
        <v>125</v>
      </c>
      <c r="I388" s="104" t="str">
        <f t="shared" si="26"/>
        <v/>
      </c>
      <c r="J388" s="111" t="s">
        <v>13</v>
      </c>
      <c r="K388" s="121" t="s">
        <v>993</v>
      </c>
      <c r="L388" s="112" t="s">
        <v>625</v>
      </c>
    </row>
    <row r="389" spans="1:12" s="113" customFormat="1" ht="25.2" hidden="1" customHeight="1">
      <c r="A389" s="108">
        <f>SUBTOTAL(103,$B$2:B389)*1</f>
        <v>291</v>
      </c>
      <c r="B389" s="109" t="s">
        <v>626</v>
      </c>
      <c r="C389" s="209" t="s">
        <v>104</v>
      </c>
      <c r="D389" s="148"/>
      <c r="E389" s="110"/>
      <c r="F389" s="108">
        <v>7.0000000000000007E-2</v>
      </c>
      <c r="G389" s="102"/>
      <c r="H389" s="108" t="s">
        <v>125</v>
      </c>
      <c r="I389" s="104" t="str">
        <f t="shared" si="26"/>
        <v/>
      </c>
      <c r="J389" s="111" t="s">
        <v>13</v>
      </c>
      <c r="K389" s="121" t="s">
        <v>993</v>
      </c>
      <c r="L389" s="112" t="s">
        <v>625</v>
      </c>
    </row>
    <row r="390" spans="1:12" s="113" customFormat="1" ht="25.2" hidden="1" customHeight="1">
      <c r="A390" s="108">
        <f>SUBTOTAL(103,$B$2:B390)*1</f>
        <v>291</v>
      </c>
      <c r="B390" s="109" t="s">
        <v>627</v>
      </c>
      <c r="C390" s="209" t="s">
        <v>104</v>
      </c>
      <c r="D390" s="148"/>
      <c r="E390" s="110"/>
      <c r="F390" s="173">
        <v>0.05</v>
      </c>
      <c r="G390" s="102"/>
      <c r="H390" s="108" t="s">
        <v>124</v>
      </c>
      <c r="I390" s="104" t="str">
        <f t="shared" si="26"/>
        <v/>
      </c>
      <c r="J390" s="111" t="s">
        <v>161</v>
      </c>
      <c r="K390" s="121" t="s">
        <v>993</v>
      </c>
      <c r="L390" s="112" t="s">
        <v>625</v>
      </c>
    </row>
    <row r="391" spans="1:12" s="113" customFormat="1" ht="25.2" customHeight="1">
      <c r="A391" s="132">
        <f>SUBTOTAL(103,$B$2:B391)*1</f>
        <v>292</v>
      </c>
      <c r="B391" s="127" t="s">
        <v>794</v>
      </c>
      <c r="C391" s="191" t="s">
        <v>737</v>
      </c>
      <c r="D391" s="132"/>
      <c r="E391" s="110" t="s">
        <v>361</v>
      </c>
      <c r="F391" s="132"/>
      <c r="G391" s="182" t="s">
        <v>1761</v>
      </c>
      <c r="H391" s="132" t="s">
        <v>34</v>
      </c>
      <c r="I391" s="149" t="str">
        <f>IF(G391="","",IF(G391=E391,"Pass",""))</f>
        <v>Pass</v>
      </c>
      <c r="J391" s="111" t="s">
        <v>6</v>
      </c>
      <c r="K391" s="111"/>
      <c r="L391" s="112" t="s">
        <v>796</v>
      </c>
    </row>
    <row r="392" spans="1:12" s="113" customFormat="1" ht="25.2" customHeight="1">
      <c r="A392" s="132">
        <f>SUBTOTAL(103,$B$2:B392)*1</f>
        <v>293</v>
      </c>
      <c r="B392" s="127" t="s">
        <v>794</v>
      </c>
      <c r="C392" s="191" t="s">
        <v>734</v>
      </c>
      <c r="D392" s="132"/>
      <c r="E392" s="110">
        <v>1</v>
      </c>
      <c r="F392" s="132"/>
      <c r="G392" s="182">
        <v>1</v>
      </c>
      <c r="H392" s="132" t="s">
        <v>34</v>
      </c>
      <c r="I392" s="149" t="str">
        <f>IF(G392="","",IF(G392=E392,"Pass","Fail"))</f>
        <v>Pass</v>
      </c>
      <c r="J392" s="111" t="s">
        <v>6</v>
      </c>
      <c r="K392" s="111"/>
      <c r="L392" s="112" t="s">
        <v>796</v>
      </c>
    </row>
    <row r="393" spans="1:12" s="113" customFormat="1" ht="25.2" customHeight="1">
      <c r="A393" s="132">
        <f>SUBTOTAL(103,$B$2:B393)*1</f>
        <v>294</v>
      </c>
      <c r="B393" s="127" t="s">
        <v>794</v>
      </c>
      <c r="C393" s="191" t="s">
        <v>736</v>
      </c>
      <c r="D393" s="132"/>
      <c r="E393" s="110" t="s">
        <v>361</v>
      </c>
      <c r="F393" s="132"/>
      <c r="G393" s="182" t="s">
        <v>1761</v>
      </c>
      <c r="H393" s="132" t="s">
        <v>34</v>
      </c>
      <c r="I393" s="149" t="str">
        <f>IF(G393="","",IF(G393=E393,"Pass","Fail"))</f>
        <v>Pass</v>
      </c>
      <c r="J393" s="111" t="s">
        <v>6</v>
      </c>
      <c r="K393" s="111"/>
      <c r="L393" s="112" t="s">
        <v>796</v>
      </c>
    </row>
    <row r="394" spans="1:12" s="113" customFormat="1" ht="25.2" customHeight="1">
      <c r="A394" s="132">
        <f>SUBTOTAL(103,$B$2:B394)*1</f>
        <v>295</v>
      </c>
      <c r="B394" s="127" t="s">
        <v>794</v>
      </c>
      <c r="C394" s="191" t="s">
        <v>735</v>
      </c>
      <c r="D394" s="132"/>
      <c r="E394" s="110" t="s">
        <v>34</v>
      </c>
      <c r="F394" s="132"/>
      <c r="G394" s="182" t="s">
        <v>1762</v>
      </c>
      <c r="H394" s="132" t="s">
        <v>125</v>
      </c>
      <c r="I394" s="149" t="s">
        <v>1665</v>
      </c>
      <c r="J394" s="111" t="s">
        <v>6</v>
      </c>
      <c r="K394" s="111"/>
      <c r="L394" s="112" t="s">
        <v>796</v>
      </c>
    </row>
    <row r="395" spans="1:12" s="113" customFormat="1" ht="25.2" customHeight="1">
      <c r="A395" s="108">
        <f>SUBTOTAL(103,$B$2:B395)*1</f>
        <v>296</v>
      </c>
      <c r="B395" s="109" t="s">
        <v>59</v>
      </c>
      <c r="C395" s="177" t="s">
        <v>1623</v>
      </c>
      <c r="D395" s="108"/>
      <c r="E395" s="110" t="s">
        <v>7</v>
      </c>
      <c r="F395" s="108"/>
      <c r="G395" s="102" t="s">
        <v>1706</v>
      </c>
      <c r="H395" s="108" t="s">
        <v>34</v>
      </c>
      <c r="I395" s="104" t="str">
        <f t="shared" ref="I395" si="27">IF(G395="","",IF(G395=E395,"Pass","Fail"))</f>
        <v>Pass</v>
      </c>
      <c r="J395" s="111" t="s">
        <v>161</v>
      </c>
      <c r="K395" s="111"/>
      <c r="L395" s="112"/>
    </row>
    <row r="396" spans="1:12" s="113" customFormat="1" ht="25.2" customHeight="1">
      <c r="A396" s="108">
        <f>SUBTOTAL(103,$B$2:B396)*1</f>
        <v>297</v>
      </c>
      <c r="B396" s="109" t="s">
        <v>59</v>
      </c>
      <c r="C396" s="177" t="s">
        <v>1621</v>
      </c>
      <c r="D396" s="108"/>
      <c r="E396" s="110"/>
      <c r="F396" s="108"/>
      <c r="G396" s="102">
        <v>0.53</v>
      </c>
      <c r="H396" s="108" t="s">
        <v>34</v>
      </c>
      <c r="I396" s="104" t="s">
        <v>1665</v>
      </c>
      <c r="J396" s="111" t="s">
        <v>161</v>
      </c>
      <c r="K396" s="121" t="s">
        <v>993</v>
      </c>
      <c r="L396" s="112" t="s">
        <v>1624</v>
      </c>
    </row>
    <row r="397" spans="1:12" s="113" customFormat="1" ht="25.2" customHeight="1">
      <c r="A397" s="108">
        <f>SUBTOTAL(103,$B$2:B397)*1</f>
        <v>298</v>
      </c>
      <c r="B397" s="109" t="s">
        <v>59</v>
      </c>
      <c r="C397" s="209" t="s">
        <v>429</v>
      </c>
      <c r="D397" s="148"/>
      <c r="E397" s="110" t="s">
        <v>7</v>
      </c>
      <c r="F397" s="108"/>
      <c r="G397" s="102" t="s">
        <v>1706</v>
      </c>
      <c r="H397" s="108" t="s">
        <v>483</v>
      </c>
      <c r="I397" s="104" t="str">
        <f>IF(G397="","",IF(G397=E397,"Pass",""))</f>
        <v>Pass</v>
      </c>
      <c r="J397" s="111" t="s">
        <v>6</v>
      </c>
      <c r="K397" s="111"/>
      <c r="L397" s="112" t="s">
        <v>520</v>
      </c>
    </row>
    <row r="398" spans="1:12" s="113" customFormat="1" ht="25.2" customHeight="1">
      <c r="A398" s="108">
        <f>SUBTOTAL(103,$B$2:B398)*1</f>
        <v>299</v>
      </c>
      <c r="B398" s="109" t="s">
        <v>59</v>
      </c>
      <c r="C398" s="177" t="s">
        <v>846</v>
      </c>
      <c r="D398" s="129">
        <v>800</v>
      </c>
      <c r="E398" s="110"/>
      <c r="F398" s="123"/>
      <c r="G398" s="130">
        <v>839.16</v>
      </c>
      <c r="H398" s="108" t="s">
        <v>34</v>
      </c>
      <c r="I398" s="104" t="str">
        <f>IF(G398="","",IF(G398&gt;=D398,"Pass","Fail"))</f>
        <v>Pass</v>
      </c>
      <c r="J398" s="111" t="s">
        <v>41</v>
      </c>
      <c r="K398" s="111"/>
      <c r="L398" s="112" t="s">
        <v>869</v>
      </c>
    </row>
    <row r="399" spans="1:12" s="113" customFormat="1" ht="25.2" customHeight="1">
      <c r="A399" s="108">
        <f>SUBTOTAL(103,$B$2:B399)*1</f>
        <v>300</v>
      </c>
      <c r="B399" s="109" t="s">
        <v>59</v>
      </c>
      <c r="C399" s="177" t="s">
        <v>493</v>
      </c>
      <c r="D399" s="108"/>
      <c r="E399" s="110" t="s">
        <v>7</v>
      </c>
      <c r="F399" s="108"/>
      <c r="G399" s="102" t="s">
        <v>1706</v>
      </c>
      <c r="H399" s="108" t="s">
        <v>34</v>
      </c>
      <c r="I399" s="104" t="str">
        <f t="shared" ref="I399:I408" si="28">IF(G399="","",IF(G399=E399,"Pass","Fail"))</f>
        <v>Pass</v>
      </c>
      <c r="J399" s="111" t="s">
        <v>6</v>
      </c>
      <c r="K399" s="111"/>
      <c r="L399" s="175" t="s">
        <v>1264</v>
      </c>
    </row>
    <row r="400" spans="1:12" s="113" customFormat="1" ht="25.2" customHeight="1">
      <c r="A400" s="108">
        <f>SUBTOTAL(103,$B$2:B400)*1</f>
        <v>301</v>
      </c>
      <c r="B400" s="109" t="s">
        <v>59</v>
      </c>
      <c r="C400" s="177" t="s">
        <v>63</v>
      </c>
      <c r="D400" s="108"/>
      <c r="E400" s="110" t="s">
        <v>7</v>
      </c>
      <c r="F400" s="108"/>
      <c r="G400" s="102" t="s">
        <v>1706</v>
      </c>
      <c r="H400" s="108" t="s">
        <v>34</v>
      </c>
      <c r="I400" s="104" t="str">
        <f t="shared" si="28"/>
        <v>Pass</v>
      </c>
      <c r="J400" s="111" t="s">
        <v>6</v>
      </c>
      <c r="K400" s="111"/>
      <c r="L400" s="112"/>
    </row>
    <row r="401" spans="1:12" s="113" customFormat="1" ht="25.2" customHeight="1">
      <c r="A401" s="108">
        <f>SUBTOTAL(103,$B$2:B401)*1</f>
        <v>302</v>
      </c>
      <c r="B401" s="109" t="s">
        <v>59</v>
      </c>
      <c r="C401" s="177" t="s">
        <v>64</v>
      </c>
      <c r="D401" s="108"/>
      <c r="E401" s="110" t="s">
        <v>7</v>
      </c>
      <c r="F401" s="108"/>
      <c r="G401" s="102" t="s">
        <v>1706</v>
      </c>
      <c r="H401" s="108" t="s">
        <v>34</v>
      </c>
      <c r="I401" s="104" t="str">
        <f t="shared" si="28"/>
        <v>Pass</v>
      </c>
      <c r="J401" s="111" t="s">
        <v>6</v>
      </c>
      <c r="K401" s="111"/>
      <c r="L401" s="112"/>
    </row>
    <row r="402" spans="1:12" s="113" customFormat="1" ht="25.2" customHeight="1">
      <c r="A402" s="108">
        <f>SUBTOTAL(103,$B$2:B402)*1</f>
        <v>303</v>
      </c>
      <c r="B402" s="109" t="s">
        <v>59</v>
      </c>
      <c r="C402" s="177" t="s">
        <v>65</v>
      </c>
      <c r="D402" s="108"/>
      <c r="E402" s="110" t="s">
        <v>7</v>
      </c>
      <c r="F402" s="108"/>
      <c r="G402" s="102" t="s">
        <v>1706</v>
      </c>
      <c r="H402" s="108" t="s">
        <v>34</v>
      </c>
      <c r="I402" s="104" t="str">
        <f t="shared" si="28"/>
        <v>Pass</v>
      </c>
      <c r="J402" s="111" t="s">
        <v>6</v>
      </c>
      <c r="K402" s="111"/>
      <c r="L402" s="112"/>
    </row>
    <row r="403" spans="1:12" s="113" customFormat="1" ht="25.2" customHeight="1">
      <c r="A403" s="108">
        <f>SUBTOTAL(103,$B$2:B403)*1</f>
        <v>304</v>
      </c>
      <c r="B403" s="109" t="s">
        <v>59</v>
      </c>
      <c r="C403" s="169" t="s">
        <v>755</v>
      </c>
      <c r="D403" s="108"/>
      <c r="E403" s="110" t="s">
        <v>7</v>
      </c>
      <c r="F403" s="108"/>
      <c r="G403" s="102" t="s">
        <v>1706</v>
      </c>
      <c r="H403" s="108" t="s">
        <v>34</v>
      </c>
      <c r="I403" s="104" t="str">
        <f t="shared" si="28"/>
        <v>Pass</v>
      </c>
      <c r="J403" s="111" t="s">
        <v>6</v>
      </c>
      <c r="K403" s="111"/>
      <c r="L403" s="112"/>
    </row>
    <row r="404" spans="1:12" s="113" customFormat="1" ht="25.2" customHeight="1">
      <c r="A404" s="108">
        <f>SUBTOTAL(103,$B$2:B404)*1</f>
        <v>305</v>
      </c>
      <c r="B404" s="109" t="s">
        <v>59</v>
      </c>
      <c r="C404" s="169" t="s">
        <v>754</v>
      </c>
      <c r="D404" s="108"/>
      <c r="E404" s="110" t="s">
        <v>1713</v>
      </c>
      <c r="F404" s="108"/>
      <c r="G404" s="102" t="s">
        <v>1713</v>
      </c>
      <c r="H404" s="108" t="s">
        <v>34</v>
      </c>
      <c r="I404" s="104" t="str">
        <f t="shared" si="28"/>
        <v>Pass</v>
      </c>
      <c r="J404" s="111" t="s">
        <v>6</v>
      </c>
      <c r="K404" s="111"/>
      <c r="L404" s="112"/>
    </row>
    <row r="405" spans="1:12" s="113" customFormat="1" ht="25.2" customHeight="1">
      <c r="A405" s="108">
        <f>SUBTOTAL(103,$B$2:B405)*1</f>
        <v>306</v>
      </c>
      <c r="B405" s="109" t="s">
        <v>59</v>
      </c>
      <c r="C405" s="210" t="s">
        <v>1117</v>
      </c>
      <c r="D405" s="108"/>
      <c r="E405" s="110" t="s">
        <v>1712</v>
      </c>
      <c r="F405" s="108"/>
      <c r="G405" s="102" t="s">
        <v>1685</v>
      </c>
      <c r="H405" s="108" t="s">
        <v>34</v>
      </c>
      <c r="I405" s="104" t="str">
        <f t="shared" si="28"/>
        <v>Pass</v>
      </c>
      <c r="J405" s="111" t="s">
        <v>6</v>
      </c>
      <c r="K405" s="111"/>
      <c r="L405" s="112"/>
    </row>
    <row r="406" spans="1:12" s="113" customFormat="1" ht="25.2" customHeight="1">
      <c r="A406" s="108">
        <f>SUBTOTAL(103,$B$2:B406)*1</f>
        <v>307</v>
      </c>
      <c r="B406" s="109" t="s">
        <v>59</v>
      </c>
      <c r="C406" s="210" t="s">
        <v>1118</v>
      </c>
      <c r="D406" s="108"/>
      <c r="E406" s="110" t="str" cm="1">
        <f t="array" ref="E406">_xlfn.IFS(E405="Yes","No",E405="No","Yes",E405="(선택)","")</f>
        <v>Yes</v>
      </c>
      <c r="F406" s="108"/>
      <c r="G406" s="102" t="s">
        <v>1706</v>
      </c>
      <c r="H406" s="108" t="s">
        <v>34</v>
      </c>
      <c r="I406" s="104" t="str">
        <f t="shared" si="28"/>
        <v>Pass</v>
      </c>
      <c r="J406" s="111" t="s">
        <v>6</v>
      </c>
      <c r="K406" s="111"/>
      <c r="L406" s="112"/>
    </row>
    <row r="407" spans="1:12" s="113" customFormat="1" ht="25.2" customHeight="1">
      <c r="A407" s="108">
        <f>SUBTOTAL(103,$B$2:B407)*1</f>
        <v>308</v>
      </c>
      <c r="B407" s="109" t="s">
        <v>59</v>
      </c>
      <c r="C407" s="177" t="s">
        <v>145</v>
      </c>
      <c r="D407" s="108"/>
      <c r="E407" s="110" t="s">
        <v>1711</v>
      </c>
      <c r="F407" s="108"/>
      <c r="G407" s="135" t="s">
        <v>1711</v>
      </c>
      <c r="H407" s="108" t="s">
        <v>162</v>
      </c>
      <c r="I407" s="176" t="str">
        <f t="shared" ref="I407" si="29">IF(G407="","",IF(G407=E407,"Pass",""))</f>
        <v>Pass</v>
      </c>
      <c r="J407" s="111" t="s">
        <v>6</v>
      </c>
      <c r="K407" s="111"/>
      <c r="L407" s="112"/>
    </row>
    <row r="408" spans="1:12" s="113" customFormat="1" ht="25.2" customHeight="1">
      <c r="A408" s="108">
        <f>SUBTOTAL(103,$B$2:B408)*1</f>
        <v>309</v>
      </c>
      <c r="B408" s="109" t="s">
        <v>59</v>
      </c>
      <c r="C408" s="177" t="s">
        <v>1313</v>
      </c>
      <c r="D408" s="108"/>
      <c r="E408" s="110" t="s">
        <v>60</v>
      </c>
      <c r="F408" s="108"/>
      <c r="G408" s="135" t="s">
        <v>1709</v>
      </c>
      <c r="H408" s="108" t="s">
        <v>34</v>
      </c>
      <c r="I408" s="104" t="str">
        <f t="shared" si="28"/>
        <v>Pass</v>
      </c>
      <c r="J408" s="111" t="s">
        <v>6</v>
      </c>
      <c r="K408" s="111"/>
      <c r="L408" s="112" t="s">
        <v>868</v>
      </c>
    </row>
    <row r="409" spans="1:12" s="113" customFormat="1" ht="25.2" customHeight="1">
      <c r="A409" s="108">
        <f>SUBTOTAL(103,$B$2:B409)*1</f>
        <v>310</v>
      </c>
      <c r="B409" s="109" t="s">
        <v>59</v>
      </c>
      <c r="C409" s="177" t="s">
        <v>430</v>
      </c>
      <c r="D409" s="108"/>
      <c r="E409" s="110"/>
      <c r="F409" s="108">
        <v>5</v>
      </c>
      <c r="G409" s="130">
        <v>4.5</v>
      </c>
      <c r="H409" s="108" t="s">
        <v>127</v>
      </c>
      <c r="I409" s="104" t="str">
        <f>IF(G409="","",IF(AND(G409&lt;=F409),"Pass","Fail"))</f>
        <v>Pass</v>
      </c>
      <c r="J409" s="111" t="s">
        <v>6</v>
      </c>
      <c r="K409" s="111"/>
      <c r="L409" s="112" t="s">
        <v>653</v>
      </c>
    </row>
    <row r="410" spans="1:12" s="113" customFormat="1" ht="25.2" customHeight="1">
      <c r="A410" s="108">
        <f>SUBTOTAL(103,$B$2:B410)*1</f>
        <v>311</v>
      </c>
      <c r="B410" s="109" t="s">
        <v>59</v>
      </c>
      <c r="C410" s="177" t="s">
        <v>61</v>
      </c>
      <c r="D410" s="108"/>
      <c r="E410" s="110" t="s">
        <v>62</v>
      </c>
      <c r="F410" s="108"/>
      <c r="G410" s="102" t="s">
        <v>1710</v>
      </c>
      <c r="H410" s="108" t="s">
        <v>131</v>
      </c>
      <c r="I410" s="104" t="str">
        <f>IF(G410="","",IF(G410=E410,"Pass","Fail"))</f>
        <v>Pass</v>
      </c>
      <c r="J410" s="111" t="s">
        <v>6</v>
      </c>
      <c r="K410" s="111"/>
      <c r="L410" s="112"/>
    </row>
    <row r="411" spans="1:12" s="113" customFormat="1" ht="25.2" customHeight="1">
      <c r="A411" s="108">
        <f>SUBTOTAL(103,$B$2:B411)*1</f>
        <v>312</v>
      </c>
      <c r="B411" s="109" t="s">
        <v>59</v>
      </c>
      <c r="C411" s="177" t="s">
        <v>845</v>
      </c>
      <c r="D411" s="108"/>
      <c r="E411" s="110">
        <v>2440</v>
      </c>
      <c r="F411" s="108"/>
      <c r="G411" s="102">
        <v>2440</v>
      </c>
      <c r="H411" s="108" t="s">
        <v>34</v>
      </c>
      <c r="I411" s="104" t="str">
        <f>IF(G411="","",IF(G411=E411,"Pass","Fail"))</f>
        <v>Pass</v>
      </c>
      <c r="J411" s="111" t="s">
        <v>6</v>
      </c>
      <c r="K411" s="111"/>
      <c r="L411" s="112" t="s">
        <v>867</v>
      </c>
    </row>
    <row r="412" spans="1:12" s="113" customFormat="1" ht="25.2" customHeight="1">
      <c r="A412" s="108">
        <f>SUBTOTAL(103,$B$2:B412)*1</f>
        <v>313</v>
      </c>
      <c r="B412" s="109" t="s">
        <v>59</v>
      </c>
      <c r="C412" s="177" t="s">
        <v>844</v>
      </c>
      <c r="D412" s="108"/>
      <c r="E412" s="110">
        <v>1828</v>
      </c>
      <c r="F412" s="108"/>
      <c r="G412" s="178">
        <v>1828</v>
      </c>
      <c r="H412" s="108" t="s">
        <v>162</v>
      </c>
      <c r="I412" s="104" t="str">
        <f>IF(G412="","",IF(G412=E412,"Pass",""))</f>
        <v>Pass</v>
      </c>
      <c r="J412" s="111" t="s">
        <v>148</v>
      </c>
      <c r="K412" s="111"/>
      <c r="L412" s="112" t="s">
        <v>1312</v>
      </c>
    </row>
    <row r="413" spans="1:12" s="113" customFormat="1" ht="25.2" customHeight="1">
      <c r="A413" s="108">
        <f>SUBTOTAL(103,$B$2:B413)*1</f>
        <v>314</v>
      </c>
      <c r="B413" s="109" t="s">
        <v>59</v>
      </c>
      <c r="C413" s="177" t="s">
        <v>678</v>
      </c>
      <c r="D413" s="108">
        <v>15</v>
      </c>
      <c r="E413" s="110"/>
      <c r="F413" s="108"/>
      <c r="G413" s="130">
        <v>25</v>
      </c>
      <c r="H413" s="108" t="s">
        <v>144</v>
      </c>
      <c r="I413" s="104" t="str">
        <f>IF(G413="","",IF(AND(G413&gt;=D413),"Pass","Fail"))</f>
        <v>Pass</v>
      </c>
      <c r="J413" s="111" t="s">
        <v>6</v>
      </c>
      <c r="K413" s="111"/>
      <c r="L413" s="112" t="s">
        <v>679</v>
      </c>
    </row>
    <row r="414" spans="1:12" s="113" customFormat="1" ht="25.2" customHeight="1">
      <c r="A414" s="108">
        <f>SUBTOTAL(103,$B$2:B414)*1</f>
        <v>315</v>
      </c>
      <c r="B414" s="109" t="s">
        <v>70</v>
      </c>
      <c r="C414" s="177" t="s">
        <v>1281</v>
      </c>
      <c r="D414" s="108"/>
      <c r="E414" s="110" t="s">
        <v>16</v>
      </c>
      <c r="F414" s="108"/>
      <c r="G414" s="102" t="s">
        <v>1706</v>
      </c>
      <c r="H414" s="108" t="s">
        <v>34</v>
      </c>
      <c r="I414" s="104" t="str">
        <f t="shared" ref="I414" si="30">IF(G414="","",IF(G414=E414,"Pass","Fail"))</f>
        <v>Pass</v>
      </c>
      <c r="J414" s="111" t="s">
        <v>6</v>
      </c>
      <c r="K414" s="111"/>
      <c r="L414" s="112"/>
    </row>
    <row r="415" spans="1:12" s="113" customFormat="1" ht="25.2" customHeight="1">
      <c r="A415" s="108">
        <f>SUBTOTAL(103,$B$2:B415)*1</f>
        <v>316</v>
      </c>
      <c r="B415" s="109" t="s">
        <v>70</v>
      </c>
      <c r="C415" s="177" t="s">
        <v>962</v>
      </c>
      <c r="D415" s="108">
        <v>150</v>
      </c>
      <c r="E415" s="110"/>
      <c r="F415" s="108">
        <v>240</v>
      </c>
      <c r="G415" s="130">
        <v>220.80670000000001</v>
      </c>
      <c r="H415" s="108" t="s">
        <v>127</v>
      </c>
      <c r="I415" s="104" t="str">
        <f t="shared" ref="I415:I418" si="31">IF(G415="","",IF(AND(G415&gt;=D415,G415&lt;=F415),"Pass","Fail"))</f>
        <v>Pass</v>
      </c>
      <c r="J415" s="111" t="s">
        <v>13</v>
      </c>
      <c r="K415" s="121" t="s">
        <v>993</v>
      </c>
      <c r="L415" s="112" t="s">
        <v>762</v>
      </c>
    </row>
    <row r="416" spans="1:12" s="113" customFormat="1" ht="25.2" customHeight="1">
      <c r="A416" s="108">
        <f>SUBTOTAL(103,$B$2:B416)*1</f>
        <v>317</v>
      </c>
      <c r="B416" s="109" t="s">
        <v>70</v>
      </c>
      <c r="C416" s="177" t="s">
        <v>960</v>
      </c>
      <c r="D416" s="108">
        <v>150</v>
      </c>
      <c r="E416" s="110"/>
      <c r="F416" s="108">
        <v>240</v>
      </c>
      <c r="G416" s="130">
        <v>218.7191</v>
      </c>
      <c r="H416" s="108" t="s">
        <v>127</v>
      </c>
      <c r="I416" s="104" t="str">
        <f t="shared" si="31"/>
        <v>Pass</v>
      </c>
      <c r="J416" s="111" t="s">
        <v>13</v>
      </c>
      <c r="K416" s="121" t="s">
        <v>993</v>
      </c>
      <c r="L416" s="112" t="s">
        <v>762</v>
      </c>
    </row>
    <row r="417" spans="1:12" s="113" customFormat="1" ht="25.2" customHeight="1">
      <c r="A417" s="108">
        <f>SUBTOTAL(103,$B$2:B417)*1</f>
        <v>318</v>
      </c>
      <c r="B417" s="109" t="s">
        <v>70</v>
      </c>
      <c r="C417" s="177" t="s">
        <v>961</v>
      </c>
      <c r="D417" s="108">
        <v>150</v>
      </c>
      <c r="E417" s="110"/>
      <c r="F417" s="108">
        <v>240</v>
      </c>
      <c r="G417" s="130">
        <v>222.89429999999999</v>
      </c>
      <c r="H417" s="108" t="s">
        <v>127</v>
      </c>
      <c r="I417" s="104" t="str">
        <f t="shared" si="31"/>
        <v>Pass</v>
      </c>
      <c r="J417" s="111" t="s">
        <v>13</v>
      </c>
      <c r="K417" s="121" t="s">
        <v>993</v>
      </c>
      <c r="L417" s="112" t="s">
        <v>762</v>
      </c>
    </row>
    <row r="418" spans="1:12" s="113" customFormat="1" ht="25.2" customHeight="1">
      <c r="A418" s="108">
        <f>SUBTOTAL(103,$B$2:B418)*1</f>
        <v>319</v>
      </c>
      <c r="B418" s="109" t="s">
        <v>70</v>
      </c>
      <c r="C418" s="177" t="s">
        <v>964</v>
      </c>
      <c r="D418" s="108">
        <v>150</v>
      </c>
      <c r="E418" s="110"/>
      <c r="F418" s="108">
        <v>240</v>
      </c>
      <c r="G418" s="130">
        <v>218.8544</v>
      </c>
      <c r="H418" s="108" t="s">
        <v>127</v>
      </c>
      <c r="I418" s="104" t="str">
        <f t="shared" si="31"/>
        <v>Pass</v>
      </c>
      <c r="J418" s="111" t="s">
        <v>13</v>
      </c>
      <c r="K418" s="121" t="s">
        <v>993</v>
      </c>
      <c r="L418" s="112" t="s">
        <v>762</v>
      </c>
    </row>
    <row r="419" spans="1:12" s="113" customFormat="1" ht="25.2" customHeight="1">
      <c r="A419" s="108">
        <f>SUBTOTAL(103,$B$2:B419)*1</f>
        <v>320</v>
      </c>
      <c r="B419" s="109" t="s">
        <v>70</v>
      </c>
      <c r="C419" s="177" t="s">
        <v>963</v>
      </c>
      <c r="D419" s="108">
        <v>150</v>
      </c>
      <c r="E419" s="110"/>
      <c r="F419" s="108">
        <v>240</v>
      </c>
      <c r="G419" s="130">
        <v>220.87029999999999</v>
      </c>
      <c r="H419" s="108" t="s">
        <v>127</v>
      </c>
      <c r="I419" s="104" t="str">
        <f t="shared" ref="I419:I432" si="32">IF(G419="","",IF(AND(G419&gt;=D419,G419&lt;=F419),"Pass","Fail"))</f>
        <v>Pass</v>
      </c>
      <c r="J419" s="111" t="s">
        <v>13</v>
      </c>
      <c r="K419" s="121" t="s">
        <v>993</v>
      </c>
      <c r="L419" s="112" t="s">
        <v>762</v>
      </c>
    </row>
    <row r="420" spans="1:12" s="113" customFormat="1" ht="25.2" customHeight="1">
      <c r="A420" s="108">
        <f>SUBTOTAL(103,$B$2:B420)*1</f>
        <v>321</v>
      </c>
      <c r="B420" s="109" t="s">
        <v>70</v>
      </c>
      <c r="C420" s="177" t="s">
        <v>965</v>
      </c>
      <c r="D420" s="108">
        <v>150</v>
      </c>
      <c r="E420" s="110"/>
      <c r="F420" s="108">
        <v>240</v>
      </c>
      <c r="G420" s="130">
        <v>216.83860000000001</v>
      </c>
      <c r="H420" s="108" t="s">
        <v>127</v>
      </c>
      <c r="I420" s="104" t="str">
        <f t="shared" si="32"/>
        <v>Pass</v>
      </c>
      <c r="J420" s="111" t="s">
        <v>13</v>
      </c>
      <c r="K420" s="121" t="s">
        <v>993</v>
      </c>
      <c r="L420" s="112" t="s">
        <v>762</v>
      </c>
    </row>
    <row r="421" spans="1:12" s="113" customFormat="1" ht="25.2" customHeight="1">
      <c r="A421" s="108">
        <f>SUBTOTAL(103,$B$2:B421)*1</f>
        <v>322</v>
      </c>
      <c r="B421" s="109" t="s">
        <v>70</v>
      </c>
      <c r="C421" s="177" t="s">
        <v>966</v>
      </c>
      <c r="D421" s="123">
        <v>11</v>
      </c>
      <c r="E421" s="198"/>
      <c r="F421" s="123">
        <v>17</v>
      </c>
      <c r="G421" s="102">
        <v>14.26</v>
      </c>
      <c r="H421" s="108" t="s">
        <v>126</v>
      </c>
      <c r="I421" s="104" t="str">
        <f t="shared" si="32"/>
        <v>Pass</v>
      </c>
      <c r="J421" s="111" t="s">
        <v>13</v>
      </c>
      <c r="K421" s="121" t="s">
        <v>993</v>
      </c>
      <c r="L421" s="112" t="s">
        <v>762</v>
      </c>
    </row>
    <row r="422" spans="1:12" s="113" customFormat="1" ht="25.2" customHeight="1">
      <c r="A422" s="108">
        <f>SUBTOTAL(103,$B$2:B422)*1</f>
        <v>323</v>
      </c>
      <c r="B422" s="109" t="s">
        <v>70</v>
      </c>
      <c r="C422" s="177" t="s">
        <v>967</v>
      </c>
      <c r="D422" s="123">
        <v>11</v>
      </c>
      <c r="E422" s="198"/>
      <c r="F422" s="123">
        <v>17</v>
      </c>
      <c r="G422" s="102">
        <v>14.32</v>
      </c>
      <c r="H422" s="108" t="s">
        <v>126</v>
      </c>
      <c r="I422" s="104" t="str">
        <f t="shared" si="32"/>
        <v>Pass</v>
      </c>
      <c r="J422" s="111" t="s">
        <v>13</v>
      </c>
      <c r="K422" s="121" t="s">
        <v>993</v>
      </c>
      <c r="L422" s="112" t="s">
        <v>762</v>
      </c>
    </row>
    <row r="423" spans="1:12" s="113" customFormat="1" ht="25.2" customHeight="1">
      <c r="A423" s="108">
        <f>SUBTOTAL(103,$B$2:B423)*1</f>
        <v>324</v>
      </c>
      <c r="B423" s="109" t="s">
        <v>70</v>
      </c>
      <c r="C423" s="177" t="s">
        <v>979</v>
      </c>
      <c r="D423" s="123">
        <v>11</v>
      </c>
      <c r="E423" s="198"/>
      <c r="F423" s="123">
        <v>17</v>
      </c>
      <c r="G423" s="102">
        <v>14.51</v>
      </c>
      <c r="H423" s="108" t="s">
        <v>126</v>
      </c>
      <c r="I423" s="104" t="str">
        <f t="shared" si="32"/>
        <v>Pass</v>
      </c>
      <c r="J423" s="111" t="s">
        <v>13</v>
      </c>
      <c r="K423" s="121" t="s">
        <v>993</v>
      </c>
      <c r="L423" s="112" t="s">
        <v>762</v>
      </c>
    </row>
    <row r="424" spans="1:12" s="161" customFormat="1" ht="25.2" customHeight="1">
      <c r="A424" s="108">
        <f>SUBTOTAL(103,$B$2:B424)*1</f>
        <v>325</v>
      </c>
      <c r="B424" s="109" t="s">
        <v>70</v>
      </c>
      <c r="C424" s="177" t="s">
        <v>980</v>
      </c>
      <c r="D424" s="123">
        <v>11</v>
      </c>
      <c r="E424" s="198"/>
      <c r="F424" s="123">
        <v>17</v>
      </c>
      <c r="G424" s="102">
        <v>14.41</v>
      </c>
      <c r="H424" s="108" t="s">
        <v>126</v>
      </c>
      <c r="I424" s="104" t="str">
        <f t="shared" si="32"/>
        <v>Pass</v>
      </c>
      <c r="J424" s="111" t="s">
        <v>13</v>
      </c>
      <c r="K424" s="121" t="s">
        <v>993</v>
      </c>
      <c r="L424" s="112" t="s">
        <v>762</v>
      </c>
    </row>
    <row r="425" spans="1:12" s="161" customFormat="1" ht="25.2" customHeight="1">
      <c r="A425" s="108">
        <f>SUBTOTAL(103,$B$2:B425)*1</f>
        <v>326</v>
      </c>
      <c r="B425" s="109" t="s">
        <v>70</v>
      </c>
      <c r="C425" s="177" t="s">
        <v>1509</v>
      </c>
      <c r="D425" s="123"/>
      <c r="E425" s="198"/>
      <c r="F425" s="123">
        <v>0.5</v>
      </c>
      <c r="G425" s="120">
        <v>6.8000000000000005E-2</v>
      </c>
      <c r="H425" s="108" t="s">
        <v>1511</v>
      </c>
      <c r="I425" s="104" t="str">
        <f>IF(G425="","",IF(AND(G425&lt;=F425),"Pass","Fail"))</f>
        <v>Pass</v>
      </c>
      <c r="J425" s="111" t="s">
        <v>41</v>
      </c>
      <c r="K425" s="121" t="s">
        <v>993</v>
      </c>
      <c r="L425" s="112" t="s">
        <v>1528</v>
      </c>
    </row>
    <row r="426" spans="1:12" s="161" customFormat="1" ht="25.2" customHeight="1">
      <c r="A426" s="108">
        <f>SUBTOTAL(103,$B$2:B426)*1</f>
        <v>327</v>
      </c>
      <c r="B426" s="109" t="s">
        <v>70</v>
      </c>
      <c r="C426" s="177" t="s">
        <v>1510</v>
      </c>
      <c r="D426" s="123"/>
      <c r="E426" s="198"/>
      <c r="F426" s="123">
        <v>0.5</v>
      </c>
      <c r="G426" s="120">
        <v>0.215</v>
      </c>
      <c r="H426" s="108" t="s">
        <v>1511</v>
      </c>
      <c r="I426" s="104" t="str">
        <f>IF(G426="","",IF(AND(G426&lt;=F426),"Pass","Fail"))</f>
        <v>Pass</v>
      </c>
      <c r="J426" s="111" t="s">
        <v>41</v>
      </c>
      <c r="K426" s="121" t="s">
        <v>993</v>
      </c>
      <c r="L426" s="112" t="s">
        <v>1528</v>
      </c>
    </row>
    <row r="427" spans="1:12" s="161" customFormat="1" ht="25.2" customHeight="1">
      <c r="A427" s="108">
        <f>SUBTOTAL(103,$B$2:B427)*1</f>
        <v>328</v>
      </c>
      <c r="B427" s="109" t="s">
        <v>70</v>
      </c>
      <c r="C427" s="177" t="s">
        <v>431</v>
      </c>
      <c r="D427" s="108">
        <v>200</v>
      </c>
      <c r="E427" s="110"/>
      <c r="F427" s="108">
        <v>300</v>
      </c>
      <c r="G427" s="130">
        <v>273.06793779999998</v>
      </c>
      <c r="H427" s="108" t="s">
        <v>34</v>
      </c>
      <c r="I427" s="104" t="str">
        <f t="shared" si="32"/>
        <v>Pass</v>
      </c>
      <c r="J427" s="111" t="s">
        <v>41</v>
      </c>
      <c r="K427" s="121" t="s">
        <v>993</v>
      </c>
      <c r="L427" s="112"/>
    </row>
    <row r="428" spans="1:12" s="161" customFormat="1" ht="25.2" customHeight="1">
      <c r="A428" s="108">
        <f>SUBTOTAL(103,$B$2:B428)*1</f>
        <v>329</v>
      </c>
      <c r="B428" s="109" t="s">
        <v>70</v>
      </c>
      <c r="C428" s="177" t="s">
        <v>432</v>
      </c>
      <c r="D428" s="108">
        <v>200</v>
      </c>
      <c r="E428" s="110"/>
      <c r="F428" s="108">
        <v>300</v>
      </c>
      <c r="G428" s="130">
        <v>287.00469679999998</v>
      </c>
      <c r="H428" s="108" t="s">
        <v>34</v>
      </c>
      <c r="I428" s="104" t="str">
        <f t="shared" si="32"/>
        <v>Pass</v>
      </c>
      <c r="J428" s="111" t="s">
        <v>41</v>
      </c>
      <c r="K428" s="121" t="s">
        <v>993</v>
      </c>
      <c r="L428" s="112"/>
    </row>
    <row r="429" spans="1:12" s="161" customFormat="1" ht="25.2" customHeight="1">
      <c r="A429" s="108">
        <f>SUBTOTAL(103,$B$2:B429)*1</f>
        <v>330</v>
      </c>
      <c r="B429" s="109" t="s">
        <v>70</v>
      </c>
      <c r="C429" s="177" t="s">
        <v>433</v>
      </c>
      <c r="D429" s="108">
        <v>200</v>
      </c>
      <c r="E429" s="110"/>
      <c r="F429" s="108">
        <v>300</v>
      </c>
      <c r="G429" s="130">
        <v>279.09440979999999</v>
      </c>
      <c r="H429" s="108" t="s">
        <v>34</v>
      </c>
      <c r="I429" s="104" t="str">
        <f t="shared" si="32"/>
        <v>Pass</v>
      </c>
      <c r="J429" s="111" t="s">
        <v>41</v>
      </c>
      <c r="K429" s="121" t="s">
        <v>993</v>
      </c>
      <c r="L429" s="112"/>
    </row>
    <row r="430" spans="1:12" s="161" customFormat="1" ht="25.2" customHeight="1">
      <c r="A430" s="108">
        <f>SUBTOTAL(103,$B$2:B430)*1</f>
        <v>331</v>
      </c>
      <c r="B430" s="109" t="s">
        <v>70</v>
      </c>
      <c r="C430" s="177" t="s">
        <v>434</v>
      </c>
      <c r="D430" s="108">
        <v>200</v>
      </c>
      <c r="E430" s="110"/>
      <c r="F430" s="108">
        <v>300</v>
      </c>
      <c r="G430" s="130">
        <v>279.48346359999999</v>
      </c>
      <c r="H430" s="108" t="s">
        <v>34</v>
      </c>
      <c r="I430" s="104" t="str">
        <f t="shared" si="32"/>
        <v>Pass</v>
      </c>
      <c r="J430" s="111" t="s">
        <v>41</v>
      </c>
      <c r="K430" s="121" t="s">
        <v>993</v>
      </c>
      <c r="L430" s="112"/>
    </row>
    <row r="431" spans="1:12" s="161" customFormat="1" ht="25.2" customHeight="1">
      <c r="A431" s="108">
        <f>SUBTOTAL(103,$B$2:B431)*1</f>
        <v>332</v>
      </c>
      <c r="B431" s="109" t="s">
        <v>70</v>
      </c>
      <c r="C431" s="177" t="s">
        <v>576</v>
      </c>
      <c r="D431" s="108">
        <v>150</v>
      </c>
      <c r="E431" s="110"/>
      <c r="F431" s="108">
        <v>220</v>
      </c>
      <c r="G431" s="130">
        <v>183.61199999999999</v>
      </c>
      <c r="H431" s="108" t="s">
        <v>127</v>
      </c>
      <c r="I431" s="104" t="str">
        <f t="shared" si="32"/>
        <v>Pass</v>
      </c>
      <c r="J431" s="111" t="s">
        <v>41</v>
      </c>
      <c r="K431" s="121" t="s">
        <v>993</v>
      </c>
      <c r="L431" s="112"/>
    </row>
    <row r="432" spans="1:12" s="113" customFormat="1" ht="25.2" customHeight="1">
      <c r="A432" s="108">
        <f>SUBTOTAL(103,$B$2:B432)*1</f>
        <v>333</v>
      </c>
      <c r="B432" s="109" t="s">
        <v>70</v>
      </c>
      <c r="C432" s="177" t="s">
        <v>577</v>
      </c>
      <c r="D432" s="108">
        <v>150</v>
      </c>
      <c r="E432" s="110"/>
      <c r="F432" s="108">
        <v>220</v>
      </c>
      <c r="G432" s="130">
        <v>187.70099999999999</v>
      </c>
      <c r="H432" s="108" t="s">
        <v>127</v>
      </c>
      <c r="I432" s="104" t="str">
        <f t="shared" si="32"/>
        <v>Pass</v>
      </c>
      <c r="J432" s="111" t="s">
        <v>41</v>
      </c>
      <c r="K432" s="121" t="s">
        <v>993</v>
      </c>
      <c r="L432" s="112"/>
    </row>
    <row r="433" spans="1:12" s="113" customFormat="1" ht="37.200000000000003">
      <c r="A433" s="108">
        <f>SUBTOTAL(103,$B$2:B433)*1</f>
        <v>334</v>
      </c>
      <c r="B433" s="109" t="s">
        <v>70</v>
      </c>
      <c r="C433" s="191" t="s">
        <v>1441</v>
      </c>
      <c r="D433" s="108"/>
      <c r="E433" s="110">
        <v>101.01</v>
      </c>
      <c r="F433" s="108"/>
      <c r="G433" s="102">
        <v>101.01</v>
      </c>
      <c r="H433" s="108" t="s">
        <v>127</v>
      </c>
      <c r="I433" s="104" t="str">
        <f>IF(G433="","",IF(G433=E433,"Pass","Fail"))</f>
        <v>Pass</v>
      </c>
      <c r="J433" s="111" t="s">
        <v>41</v>
      </c>
      <c r="K433" s="111"/>
      <c r="L433" s="112"/>
    </row>
    <row r="434" spans="1:12" s="113" customFormat="1" ht="25.2" customHeight="1">
      <c r="A434" s="108">
        <f>SUBTOTAL(103,$B$2:B434)*1</f>
        <v>335</v>
      </c>
      <c r="B434" s="109" t="s">
        <v>70</v>
      </c>
      <c r="C434" s="177" t="s">
        <v>71</v>
      </c>
      <c r="D434" s="108">
        <v>89.7</v>
      </c>
      <c r="E434" s="110"/>
      <c r="F434" s="108">
        <v>90.3</v>
      </c>
      <c r="G434" s="120">
        <v>89.962000000000003</v>
      </c>
      <c r="H434" s="108" t="s">
        <v>198</v>
      </c>
      <c r="I434" s="104" t="str">
        <f>IF(G434="","",IF(AND(G434&gt;=D434,G434&lt;=F434),"Pass","Fail"))</f>
        <v>Pass</v>
      </c>
      <c r="J434" s="111" t="s">
        <v>13</v>
      </c>
      <c r="K434" s="111"/>
      <c r="L434" s="112"/>
    </row>
    <row r="435" spans="1:12" s="113" customFormat="1" ht="25.2" customHeight="1">
      <c r="A435" s="108">
        <f>SUBTOTAL(103,$B$2:B435)*1</f>
        <v>336</v>
      </c>
      <c r="B435" s="109" t="s">
        <v>70</v>
      </c>
      <c r="C435" s="177" t="s">
        <v>435</v>
      </c>
      <c r="D435" s="123">
        <v>0</v>
      </c>
      <c r="E435" s="198"/>
      <c r="F435" s="123">
        <v>4</v>
      </c>
      <c r="G435" s="102">
        <v>3.48</v>
      </c>
      <c r="H435" s="108" t="s">
        <v>136</v>
      </c>
      <c r="I435" s="104" t="str">
        <f>IF(G435="","",IF(AND(G435&gt;=D435,G435&lt;=F435),"Pass","Fail"))</f>
        <v>Pass</v>
      </c>
      <c r="J435" s="111" t="s">
        <v>13</v>
      </c>
      <c r="K435" s="121" t="s">
        <v>993</v>
      </c>
      <c r="L435" s="112"/>
    </row>
    <row r="436" spans="1:12" s="113" customFormat="1" ht="25.2" customHeight="1">
      <c r="A436" s="108">
        <f>SUBTOTAL(103,$B$2:B436)*1</f>
        <v>337</v>
      </c>
      <c r="B436" s="109" t="s">
        <v>70</v>
      </c>
      <c r="C436" s="177" t="s">
        <v>436</v>
      </c>
      <c r="D436" s="123">
        <v>0</v>
      </c>
      <c r="E436" s="198"/>
      <c r="F436" s="123">
        <v>4</v>
      </c>
      <c r="G436" s="102">
        <v>2.89</v>
      </c>
      <c r="H436" s="108" t="s">
        <v>136</v>
      </c>
      <c r="I436" s="104" t="str">
        <f>IF(G436="","",IF(AND(G436&gt;=D436,G436&lt;=F436),"Pass","Fail"))</f>
        <v>Pass</v>
      </c>
      <c r="J436" s="111" t="s">
        <v>13</v>
      </c>
      <c r="K436" s="121" t="s">
        <v>993</v>
      </c>
      <c r="L436" s="112"/>
    </row>
    <row r="437" spans="1:12" s="113" customFormat="1" ht="25.2" customHeight="1">
      <c r="A437" s="108">
        <f>SUBTOTAL(103,$B$2:B437)*1</f>
        <v>338</v>
      </c>
      <c r="B437" s="109" t="s">
        <v>70</v>
      </c>
      <c r="C437" s="177" t="s">
        <v>968</v>
      </c>
      <c r="D437" s="108"/>
      <c r="E437" s="110"/>
      <c r="F437" s="123">
        <v>4</v>
      </c>
      <c r="G437" s="120">
        <v>0.72</v>
      </c>
      <c r="H437" s="108" t="s">
        <v>124</v>
      </c>
      <c r="I437" s="104" t="str">
        <f>IF(G437="","",IF(AND(G437&lt;=F437),"Pass","Fail"))</f>
        <v>Pass</v>
      </c>
      <c r="J437" s="111" t="s">
        <v>13</v>
      </c>
      <c r="K437" s="121" t="s">
        <v>993</v>
      </c>
      <c r="L437" s="112" t="s">
        <v>969</v>
      </c>
    </row>
    <row r="438" spans="1:12" s="113" customFormat="1" ht="25.2" customHeight="1">
      <c r="A438" s="108">
        <f>SUBTOTAL(103,$B$2:B438)*1</f>
        <v>339</v>
      </c>
      <c r="B438" s="109" t="s">
        <v>70</v>
      </c>
      <c r="C438" s="177" t="s">
        <v>970</v>
      </c>
      <c r="D438" s="108"/>
      <c r="E438" s="110"/>
      <c r="F438" s="123">
        <v>4</v>
      </c>
      <c r="G438" s="120">
        <v>0.61799999999999999</v>
      </c>
      <c r="H438" s="108" t="s">
        <v>124</v>
      </c>
      <c r="I438" s="104" t="str">
        <f>IF(G438="","",IF(AND(G438&lt;=F438),"Pass","Fail"))</f>
        <v>Pass</v>
      </c>
      <c r="J438" s="111" t="s">
        <v>13</v>
      </c>
      <c r="K438" s="121" t="s">
        <v>993</v>
      </c>
      <c r="L438" s="112" t="s">
        <v>969</v>
      </c>
    </row>
    <row r="439" spans="1:12" s="113" customFormat="1" ht="25.2" customHeight="1">
      <c r="A439" s="108">
        <f>SUBTOTAL(103,$B$2:B439)*1</f>
        <v>340</v>
      </c>
      <c r="B439" s="109" t="s">
        <v>70</v>
      </c>
      <c r="C439" s="177" t="s">
        <v>716</v>
      </c>
      <c r="D439" s="108"/>
      <c r="E439" s="110" t="s">
        <v>7</v>
      </c>
      <c r="F439" s="123"/>
      <c r="G439" s="120" t="s">
        <v>1706</v>
      </c>
      <c r="H439" s="108" t="s">
        <v>34</v>
      </c>
      <c r="I439" s="104" t="str">
        <f>IF(G439="","",IF(G439=E439,"Pass","Fail"))</f>
        <v>Pass</v>
      </c>
      <c r="J439" s="111" t="s">
        <v>13</v>
      </c>
      <c r="K439" s="111"/>
      <c r="L439" s="112" t="s">
        <v>717</v>
      </c>
    </row>
    <row r="440" spans="1:12" s="113" customFormat="1" ht="25.2" customHeight="1">
      <c r="A440" s="108">
        <f>SUBTOTAL(103,$B$2:B440)*1</f>
        <v>341</v>
      </c>
      <c r="B440" s="109" t="s">
        <v>70</v>
      </c>
      <c r="C440" s="177" t="s">
        <v>437</v>
      </c>
      <c r="D440" s="108"/>
      <c r="E440" s="110"/>
      <c r="F440" s="123">
        <v>1</v>
      </c>
      <c r="G440" s="120">
        <v>9.9000000000000005E-2</v>
      </c>
      <c r="H440" s="108" t="s">
        <v>125</v>
      </c>
      <c r="I440" s="104" t="str">
        <f>IF(G440="","",IF(AND(G440&lt;=F440),"Pass","Fail"))</f>
        <v>Pass</v>
      </c>
      <c r="J440" s="111" t="s">
        <v>13</v>
      </c>
      <c r="K440" s="121" t="s">
        <v>993</v>
      </c>
      <c r="L440" s="112" t="s">
        <v>521</v>
      </c>
    </row>
    <row r="441" spans="1:12" s="113" customFormat="1" ht="25.2" customHeight="1">
      <c r="A441" s="108">
        <f>SUBTOTAL(103,$B$2:B441)*1</f>
        <v>342</v>
      </c>
      <c r="B441" s="109" t="s">
        <v>70</v>
      </c>
      <c r="C441" s="177" t="s">
        <v>438</v>
      </c>
      <c r="D441" s="108"/>
      <c r="E441" s="110"/>
      <c r="F441" s="123">
        <v>1</v>
      </c>
      <c r="G441" s="120">
        <v>0.151</v>
      </c>
      <c r="H441" s="108" t="s">
        <v>125</v>
      </c>
      <c r="I441" s="104" t="str">
        <f>IF(G441="","",IF(AND(G441&lt;=F441),"Pass","Fail"))</f>
        <v>Pass</v>
      </c>
      <c r="J441" s="111" t="s">
        <v>13</v>
      </c>
      <c r="K441" s="121" t="s">
        <v>993</v>
      </c>
      <c r="L441" s="112" t="s">
        <v>521</v>
      </c>
    </row>
    <row r="442" spans="1:12" s="113" customFormat="1" ht="25.2" customHeight="1">
      <c r="A442" s="108">
        <f>SUBTOTAL(103,$B$2:B442)*1</f>
        <v>343</v>
      </c>
      <c r="B442" s="109" t="s">
        <v>591</v>
      </c>
      <c r="C442" s="177" t="s">
        <v>971</v>
      </c>
      <c r="D442" s="108"/>
      <c r="E442" s="110"/>
      <c r="F442" s="123">
        <v>0.5</v>
      </c>
      <c r="G442" s="120">
        <v>0.34499999999999997</v>
      </c>
      <c r="H442" s="108" t="s">
        <v>125</v>
      </c>
      <c r="I442" s="104" t="str">
        <f t="shared" ref="I442:I459" si="33">IF(G442="","",IF(AND(G442&lt;=F442),"Pass","Fail"))</f>
        <v>Pass</v>
      </c>
      <c r="J442" s="111" t="s">
        <v>13</v>
      </c>
      <c r="K442" s="121" t="s">
        <v>993</v>
      </c>
      <c r="L442" s="112" t="s">
        <v>582</v>
      </c>
    </row>
    <row r="443" spans="1:12" s="113" customFormat="1" ht="25.2" customHeight="1">
      <c r="A443" s="108">
        <f>SUBTOTAL(103,$B$2:B443)*1</f>
        <v>344</v>
      </c>
      <c r="B443" s="109" t="s">
        <v>591</v>
      </c>
      <c r="C443" s="177" t="s">
        <v>972</v>
      </c>
      <c r="D443" s="108"/>
      <c r="E443" s="110"/>
      <c r="F443" s="123">
        <v>0.6</v>
      </c>
      <c r="G443" s="120">
        <v>0.35099999999999998</v>
      </c>
      <c r="H443" s="108" t="s">
        <v>125</v>
      </c>
      <c r="I443" s="104" t="str">
        <f t="shared" si="33"/>
        <v>Pass</v>
      </c>
      <c r="J443" s="111" t="s">
        <v>13</v>
      </c>
      <c r="K443" s="121" t="s">
        <v>993</v>
      </c>
      <c r="L443" s="112" t="s">
        <v>582</v>
      </c>
    </row>
    <row r="444" spans="1:12" s="113" customFormat="1" ht="25.2" customHeight="1">
      <c r="A444" s="108">
        <f>SUBTOTAL(103,$B$2:B444)*1</f>
        <v>345</v>
      </c>
      <c r="B444" s="109" t="s">
        <v>591</v>
      </c>
      <c r="C444" s="177" t="s">
        <v>973</v>
      </c>
      <c r="D444" s="108"/>
      <c r="E444" s="110"/>
      <c r="F444" s="123">
        <v>0.6</v>
      </c>
      <c r="G444" s="120">
        <v>0.47</v>
      </c>
      <c r="H444" s="108" t="s">
        <v>125</v>
      </c>
      <c r="I444" s="104" t="str">
        <f t="shared" si="33"/>
        <v>Pass</v>
      </c>
      <c r="J444" s="111" t="s">
        <v>13</v>
      </c>
      <c r="K444" s="121" t="s">
        <v>993</v>
      </c>
      <c r="L444" s="112" t="s">
        <v>582</v>
      </c>
    </row>
    <row r="445" spans="1:12" s="113" customFormat="1" ht="25.2" customHeight="1">
      <c r="A445" s="108">
        <f>SUBTOTAL(103,$B$2:B445)*1</f>
        <v>346</v>
      </c>
      <c r="B445" s="109" t="s">
        <v>591</v>
      </c>
      <c r="C445" s="177" t="s">
        <v>974</v>
      </c>
      <c r="D445" s="108"/>
      <c r="E445" s="110"/>
      <c r="F445" s="123">
        <v>0.7</v>
      </c>
      <c r="G445" s="120">
        <v>0.47599999999999998</v>
      </c>
      <c r="H445" s="108" t="s">
        <v>125</v>
      </c>
      <c r="I445" s="104" t="str">
        <f t="shared" si="33"/>
        <v>Pass</v>
      </c>
      <c r="J445" s="111" t="s">
        <v>13</v>
      </c>
      <c r="K445" s="121" t="s">
        <v>993</v>
      </c>
      <c r="L445" s="112" t="s">
        <v>582</v>
      </c>
    </row>
    <row r="446" spans="1:12" s="113" customFormat="1" ht="25.2" customHeight="1">
      <c r="A446" s="108">
        <f>SUBTOTAL(103,$B$2:B446)*1</f>
        <v>347</v>
      </c>
      <c r="B446" s="109" t="s">
        <v>591</v>
      </c>
      <c r="C446" s="177" t="s">
        <v>975</v>
      </c>
      <c r="D446" s="108"/>
      <c r="E446" s="110"/>
      <c r="F446" s="123">
        <v>0.6</v>
      </c>
      <c r="G446" s="120">
        <v>0.46400000000000002</v>
      </c>
      <c r="H446" s="108" t="s">
        <v>125</v>
      </c>
      <c r="I446" s="104" t="str">
        <f t="shared" si="33"/>
        <v>Pass</v>
      </c>
      <c r="J446" s="111" t="s">
        <v>13</v>
      </c>
      <c r="K446" s="121" t="s">
        <v>993</v>
      </c>
      <c r="L446" s="112" t="s">
        <v>582</v>
      </c>
    </row>
    <row r="447" spans="1:12" s="113" customFormat="1" ht="25.2" customHeight="1">
      <c r="A447" s="108">
        <f>SUBTOTAL(103,$B$2:B447)*1</f>
        <v>348</v>
      </c>
      <c r="B447" s="109" t="s">
        <v>591</v>
      </c>
      <c r="C447" s="177" t="s">
        <v>976</v>
      </c>
      <c r="D447" s="108"/>
      <c r="E447" s="110"/>
      <c r="F447" s="123">
        <v>0.7</v>
      </c>
      <c r="G447" s="120">
        <v>0.47399999999999998</v>
      </c>
      <c r="H447" s="108" t="s">
        <v>125</v>
      </c>
      <c r="I447" s="104" t="str">
        <f t="shared" si="33"/>
        <v>Pass</v>
      </c>
      <c r="J447" s="111" t="s">
        <v>13</v>
      </c>
      <c r="K447" s="121" t="s">
        <v>993</v>
      </c>
      <c r="L447" s="112" t="s">
        <v>582</v>
      </c>
    </row>
    <row r="448" spans="1:12" s="113" customFormat="1" ht="25.2" hidden="1" customHeight="1">
      <c r="A448" s="108">
        <f>SUBTOTAL(103,$B$2:B448)*1</f>
        <v>348</v>
      </c>
      <c r="B448" s="109" t="s">
        <v>592</v>
      </c>
      <c r="C448" s="177" t="s">
        <v>971</v>
      </c>
      <c r="D448" s="108"/>
      <c r="E448" s="110"/>
      <c r="F448" s="123">
        <v>0.4</v>
      </c>
      <c r="G448" s="120"/>
      <c r="H448" s="108" t="s">
        <v>125</v>
      </c>
      <c r="I448" s="104" t="str">
        <f t="shared" ref="I448:I453" si="34">IF(G448="","",IF(AND(G448&lt;=F448),"Pass","Fail"))</f>
        <v/>
      </c>
      <c r="J448" s="111" t="s">
        <v>13</v>
      </c>
      <c r="K448" s="121" t="s">
        <v>993</v>
      </c>
      <c r="L448" s="171"/>
    </row>
    <row r="449" spans="1:12" s="113" customFormat="1" ht="25.2" hidden="1" customHeight="1">
      <c r="A449" s="108">
        <f>SUBTOTAL(103,$B$2:B449)*1</f>
        <v>348</v>
      </c>
      <c r="B449" s="109" t="s">
        <v>592</v>
      </c>
      <c r="C449" s="177" t="s">
        <v>972</v>
      </c>
      <c r="D449" s="108"/>
      <c r="E449" s="110"/>
      <c r="F449" s="123">
        <v>0.4</v>
      </c>
      <c r="G449" s="120"/>
      <c r="H449" s="108" t="s">
        <v>125</v>
      </c>
      <c r="I449" s="104" t="str">
        <f t="shared" si="34"/>
        <v/>
      </c>
      <c r="J449" s="111" t="s">
        <v>13</v>
      </c>
      <c r="K449" s="121" t="s">
        <v>993</v>
      </c>
      <c r="L449" s="171"/>
    </row>
    <row r="450" spans="1:12" s="113" customFormat="1" ht="25.2" hidden="1" customHeight="1">
      <c r="A450" s="108">
        <f>SUBTOTAL(103,$B$2:B450)*1</f>
        <v>348</v>
      </c>
      <c r="B450" s="109" t="s">
        <v>592</v>
      </c>
      <c r="C450" s="177" t="s">
        <v>973</v>
      </c>
      <c r="D450" s="108"/>
      <c r="E450" s="110"/>
      <c r="F450" s="123">
        <v>0.5</v>
      </c>
      <c r="G450" s="120"/>
      <c r="H450" s="108" t="s">
        <v>125</v>
      </c>
      <c r="I450" s="104" t="str">
        <f t="shared" si="34"/>
        <v/>
      </c>
      <c r="J450" s="111" t="s">
        <v>13</v>
      </c>
      <c r="K450" s="121" t="s">
        <v>993</v>
      </c>
      <c r="L450" s="171"/>
    </row>
    <row r="451" spans="1:12" s="113" customFormat="1" ht="25.2" hidden="1" customHeight="1">
      <c r="A451" s="108">
        <f>SUBTOTAL(103,$B$2:B451)*1</f>
        <v>348</v>
      </c>
      <c r="B451" s="109" t="s">
        <v>592</v>
      </c>
      <c r="C451" s="177" t="s">
        <v>974</v>
      </c>
      <c r="D451" s="108"/>
      <c r="E451" s="110"/>
      <c r="F451" s="123">
        <v>0.5</v>
      </c>
      <c r="G451" s="120"/>
      <c r="H451" s="108" t="s">
        <v>125</v>
      </c>
      <c r="I451" s="104" t="str">
        <f t="shared" si="34"/>
        <v/>
      </c>
      <c r="J451" s="111" t="s">
        <v>13</v>
      </c>
      <c r="K451" s="121" t="s">
        <v>993</v>
      </c>
      <c r="L451" s="171"/>
    </row>
    <row r="452" spans="1:12" s="113" customFormat="1" ht="25.2" hidden="1" customHeight="1">
      <c r="A452" s="108">
        <f>SUBTOTAL(103,$B$2:B452)*1</f>
        <v>348</v>
      </c>
      <c r="B452" s="109" t="s">
        <v>592</v>
      </c>
      <c r="C452" s="177" t="s">
        <v>975</v>
      </c>
      <c r="D452" s="108"/>
      <c r="E452" s="110"/>
      <c r="F452" s="123">
        <v>0.5</v>
      </c>
      <c r="G452" s="120"/>
      <c r="H452" s="108" t="s">
        <v>125</v>
      </c>
      <c r="I452" s="104" t="str">
        <f t="shared" si="34"/>
        <v/>
      </c>
      <c r="J452" s="111" t="s">
        <v>13</v>
      </c>
      <c r="K452" s="121" t="s">
        <v>993</v>
      </c>
      <c r="L452" s="171"/>
    </row>
    <row r="453" spans="1:12" s="113" customFormat="1" ht="25.2" hidden="1" customHeight="1">
      <c r="A453" s="108">
        <f>SUBTOTAL(103,$B$2:B453)*1</f>
        <v>348</v>
      </c>
      <c r="B453" s="109" t="s">
        <v>592</v>
      </c>
      <c r="C453" s="177" t="s">
        <v>976</v>
      </c>
      <c r="D453" s="108"/>
      <c r="E453" s="110"/>
      <c r="F453" s="123">
        <v>0.5</v>
      </c>
      <c r="G453" s="120"/>
      <c r="H453" s="108" t="s">
        <v>125</v>
      </c>
      <c r="I453" s="104" t="str">
        <f t="shared" si="34"/>
        <v/>
      </c>
      <c r="J453" s="111" t="s">
        <v>13</v>
      </c>
      <c r="K453" s="121" t="s">
        <v>993</v>
      </c>
      <c r="L453" s="171"/>
    </row>
    <row r="454" spans="1:12" s="113" customFormat="1" ht="25.2" hidden="1" customHeight="1">
      <c r="A454" s="108">
        <f>SUBTOTAL(103,$B$2:B454)*1</f>
        <v>348</v>
      </c>
      <c r="B454" s="109" t="s">
        <v>593</v>
      </c>
      <c r="C454" s="177" t="s">
        <v>971</v>
      </c>
      <c r="D454" s="108"/>
      <c r="E454" s="110"/>
      <c r="F454" s="123">
        <v>0.4</v>
      </c>
      <c r="G454" s="120"/>
      <c r="H454" s="108" t="s">
        <v>125</v>
      </c>
      <c r="I454" s="104" t="str">
        <f t="shared" si="33"/>
        <v/>
      </c>
      <c r="J454" s="111" t="s">
        <v>13</v>
      </c>
      <c r="K454" s="121" t="s">
        <v>993</v>
      </c>
      <c r="L454" s="171"/>
    </row>
    <row r="455" spans="1:12" s="113" customFormat="1" ht="25.2" hidden="1" customHeight="1">
      <c r="A455" s="108">
        <f>SUBTOTAL(103,$B$2:B455)*1</f>
        <v>348</v>
      </c>
      <c r="B455" s="109" t="s">
        <v>593</v>
      </c>
      <c r="C455" s="177" t="s">
        <v>972</v>
      </c>
      <c r="D455" s="108"/>
      <c r="E455" s="110"/>
      <c r="F455" s="123">
        <v>0.4</v>
      </c>
      <c r="G455" s="120"/>
      <c r="H455" s="108" t="s">
        <v>125</v>
      </c>
      <c r="I455" s="104" t="str">
        <f t="shared" si="33"/>
        <v/>
      </c>
      <c r="J455" s="111" t="s">
        <v>13</v>
      </c>
      <c r="K455" s="121" t="s">
        <v>993</v>
      </c>
      <c r="L455" s="171"/>
    </row>
    <row r="456" spans="1:12" s="113" customFormat="1" ht="25.2" hidden="1" customHeight="1">
      <c r="A456" s="108">
        <f>SUBTOTAL(103,$B$2:B456)*1</f>
        <v>348</v>
      </c>
      <c r="B456" s="109" t="s">
        <v>593</v>
      </c>
      <c r="C456" s="177" t="s">
        <v>973</v>
      </c>
      <c r="D456" s="108"/>
      <c r="E456" s="110"/>
      <c r="F456" s="123">
        <v>0.5</v>
      </c>
      <c r="G456" s="120"/>
      <c r="H456" s="108" t="s">
        <v>125</v>
      </c>
      <c r="I456" s="104" t="str">
        <f t="shared" si="33"/>
        <v/>
      </c>
      <c r="J456" s="111" t="s">
        <v>13</v>
      </c>
      <c r="K456" s="121" t="s">
        <v>993</v>
      </c>
      <c r="L456" s="171"/>
    </row>
    <row r="457" spans="1:12" s="113" customFormat="1" ht="25.2" hidden="1" customHeight="1">
      <c r="A457" s="108">
        <f>SUBTOTAL(103,$B$2:B457)*1</f>
        <v>348</v>
      </c>
      <c r="B457" s="109" t="s">
        <v>593</v>
      </c>
      <c r="C457" s="177" t="s">
        <v>974</v>
      </c>
      <c r="D457" s="108"/>
      <c r="E457" s="110"/>
      <c r="F457" s="123">
        <v>0.5</v>
      </c>
      <c r="G457" s="120"/>
      <c r="H457" s="108" t="s">
        <v>125</v>
      </c>
      <c r="I457" s="104" t="str">
        <f t="shared" si="33"/>
        <v/>
      </c>
      <c r="J457" s="111" t="s">
        <v>13</v>
      </c>
      <c r="K457" s="121" t="s">
        <v>993</v>
      </c>
      <c r="L457" s="171"/>
    </row>
    <row r="458" spans="1:12" s="113" customFormat="1" ht="25.2" hidden="1" customHeight="1">
      <c r="A458" s="108">
        <f>SUBTOTAL(103,$B$2:B458)*1</f>
        <v>348</v>
      </c>
      <c r="B458" s="109" t="s">
        <v>593</v>
      </c>
      <c r="C458" s="177" t="s">
        <v>975</v>
      </c>
      <c r="D458" s="108"/>
      <c r="E458" s="110"/>
      <c r="F458" s="123">
        <v>0.5</v>
      </c>
      <c r="G458" s="120"/>
      <c r="H458" s="108" t="s">
        <v>125</v>
      </c>
      <c r="I458" s="104" t="str">
        <f t="shared" si="33"/>
        <v/>
      </c>
      <c r="J458" s="111" t="s">
        <v>13</v>
      </c>
      <c r="K458" s="121" t="s">
        <v>993</v>
      </c>
      <c r="L458" s="171"/>
    </row>
    <row r="459" spans="1:12" s="113" customFormat="1" ht="25.2" hidden="1" customHeight="1">
      <c r="A459" s="108">
        <f>SUBTOTAL(103,$B$2:B459)*1</f>
        <v>348</v>
      </c>
      <c r="B459" s="109" t="s">
        <v>593</v>
      </c>
      <c r="C459" s="177" t="s">
        <v>976</v>
      </c>
      <c r="D459" s="108"/>
      <c r="E459" s="110"/>
      <c r="F459" s="123">
        <v>0.5</v>
      </c>
      <c r="G459" s="120"/>
      <c r="H459" s="108" t="s">
        <v>125</v>
      </c>
      <c r="I459" s="104" t="str">
        <f t="shared" si="33"/>
        <v/>
      </c>
      <c r="J459" s="111" t="s">
        <v>13</v>
      </c>
      <c r="K459" s="121" t="s">
        <v>993</v>
      </c>
      <c r="L459" s="171"/>
    </row>
    <row r="460" spans="1:12" s="113" customFormat="1" ht="25.2" hidden="1" customHeight="1">
      <c r="A460" s="108">
        <f>SUBTOTAL(103,$B$2:B460)*1</f>
        <v>348</v>
      </c>
      <c r="B460" s="109" t="s">
        <v>594</v>
      </c>
      <c r="C460" s="177" t="s">
        <v>971</v>
      </c>
      <c r="D460" s="108"/>
      <c r="E460" s="110"/>
      <c r="F460" s="123">
        <v>0.4</v>
      </c>
      <c r="G460" s="120"/>
      <c r="H460" s="108" t="s">
        <v>125</v>
      </c>
      <c r="I460" s="104" t="str">
        <f t="shared" ref="I460:I465" si="35">IF(G460="","",IF(AND(G460&lt;=F460),"Pass","Fail"))</f>
        <v/>
      </c>
      <c r="J460" s="111" t="s">
        <v>13</v>
      </c>
      <c r="K460" s="121" t="s">
        <v>993</v>
      </c>
      <c r="L460" s="171"/>
    </row>
    <row r="461" spans="1:12" s="113" customFormat="1" ht="25.2" hidden="1" customHeight="1">
      <c r="A461" s="108">
        <f>SUBTOTAL(103,$B$2:B461)*1</f>
        <v>348</v>
      </c>
      <c r="B461" s="109" t="s">
        <v>594</v>
      </c>
      <c r="C461" s="177" t="s">
        <v>972</v>
      </c>
      <c r="D461" s="108"/>
      <c r="E461" s="110"/>
      <c r="F461" s="123">
        <v>0.4</v>
      </c>
      <c r="G461" s="120"/>
      <c r="H461" s="108" t="s">
        <v>125</v>
      </c>
      <c r="I461" s="104" t="str">
        <f t="shared" si="35"/>
        <v/>
      </c>
      <c r="J461" s="111" t="s">
        <v>13</v>
      </c>
      <c r="K461" s="121" t="s">
        <v>993</v>
      </c>
      <c r="L461" s="171"/>
    </row>
    <row r="462" spans="1:12" s="113" customFormat="1" ht="25.2" hidden="1" customHeight="1">
      <c r="A462" s="108">
        <f>SUBTOTAL(103,$B$2:B462)*1</f>
        <v>348</v>
      </c>
      <c r="B462" s="109" t="s">
        <v>594</v>
      </c>
      <c r="C462" s="177" t="s">
        <v>973</v>
      </c>
      <c r="D462" s="108"/>
      <c r="E462" s="110"/>
      <c r="F462" s="123">
        <v>0.5</v>
      </c>
      <c r="G462" s="120"/>
      <c r="H462" s="108" t="s">
        <v>125</v>
      </c>
      <c r="I462" s="104" t="str">
        <f t="shared" si="35"/>
        <v/>
      </c>
      <c r="J462" s="111" t="s">
        <v>13</v>
      </c>
      <c r="K462" s="121" t="s">
        <v>993</v>
      </c>
      <c r="L462" s="171"/>
    </row>
    <row r="463" spans="1:12" s="113" customFormat="1" ht="25.2" hidden="1" customHeight="1">
      <c r="A463" s="108">
        <f>SUBTOTAL(103,$B$2:B463)*1</f>
        <v>348</v>
      </c>
      <c r="B463" s="109" t="s">
        <v>594</v>
      </c>
      <c r="C463" s="177" t="s">
        <v>974</v>
      </c>
      <c r="D463" s="108"/>
      <c r="E463" s="110"/>
      <c r="F463" s="123">
        <v>0.5</v>
      </c>
      <c r="G463" s="120"/>
      <c r="H463" s="108" t="s">
        <v>125</v>
      </c>
      <c r="I463" s="104" t="str">
        <f t="shared" si="35"/>
        <v/>
      </c>
      <c r="J463" s="111" t="s">
        <v>13</v>
      </c>
      <c r="K463" s="121" t="s">
        <v>993</v>
      </c>
      <c r="L463" s="171"/>
    </row>
    <row r="464" spans="1:12" s="113" customFormat="1" ht="25.2" hidden="1" customHeight="1">
      <c r="A464" s="108">
        <f>SUBTOTAL(103,$B$2:B464)*1</f>
        <v>348</v>
      </c>
      <c r="B464" s="109" t="s">
        <v>594</v>
      </c>
      <c r="C464" s="177" t="s">
        <v>975</v>
      </c>
      <c r="D464" s="108"/>
      <c r="E464" s="110"/>
      <c r="F464" s="123">
        <v>0.5</v>
      </c>
      <c r="G464" s="120"/>
      <c r="H464" s="108" t="s">
        <v>125</v>
      </c>
      <c r="I464" s="104" t="str">
        <f t="shared" si="35"/>
        <v/>
      </c>
      <c r="J464" s="111" t="s">
        <v>13</v>
      </c>
      <c r="K464" s="121" t="s">
        <v>993</v>
      </c>
      <c r="L464" s="171"/>
    </row>
    <row r="465" spans="1:12" s="113" customFormat="1" ht="25.2" hidden="1" customHeight="1">
      <c r="A465" s="108">
        <f>SUBTOTAL(103,$B$2:B465)*1</f>
        <v>348</v>
      </c>
      <c r="B465" s="109" t="s">
        <v>594</v>
      </c>
      <c r="C465" s="177" t="s">
        <v>976</v>
      </c>
      <c r="D465" s="108"/>
      <c r="E465" s="110"/>
      <c r="F465" s="123">
        <v>0.5</v>
      </c>
      <c r="G465" s="120"/>
      <c r="H465" s="108" t="s">
        <v>125</v>
      </c>
      <c r="I465" s="104" t="str">
        <f t="shared" si="35"/>
        <v/>
      </c>
      <c r="J465" s="111" t="s">
        <v>13</v>
      </c>
      <c r="K465" s="121" t="s">
        <v>993</v>
      </c>
      <c r="L465" s="171"/>
    </row>
    <row r="466" spans="1:12" s="113" customFormat="1" ht="25.2" hidden="1" customHeight="1">
      <c r="A466" s="108">
        <f>SUBTOTAL(103,$B$2:B466)*1</f>
        <v>348</v>
      </c>
      <c r="B466" s="109" t="s">
        <v>194</v>
      </c>
      <c r="C466" s="177" t="s">
        <v>843</v>
      </c>
      <c r="D466" s="108"/>
      <c r="E466" s="110">
        <v>200</v>
      </c>
      <c r="F466" s="108"/>
      <c r="G466" s="102"/>
      <c r="H466" s="108" t="s">
        <v>320</v>
      </c>
      <c r="I466" s="104" t="str">
        <f>IF(G466="","",IF(G466=E466,"Pass",""))</f>
        <v/>
      </c>
      <c r="J466" s="111" t="s">
        <v>41</v>
      </c>
      <c r="K466" s="111"/>
      <c r="L466" s="112" t="s">
        <v>866</v>
      </c>
    </row>
    <row r="467" spans="1:12" s="113" customFormat="1" ht="25.2" hidden="1" customHeight="1">
      <c r="A467" s="108">
        <f>SUBTOTAL(103,$B$2:B467)*1</f>
        <v>348</v>
      </c>
      <c r="B467" s="109" t="s">
        <v>194</v>
      </c>
      <c r="C467" s="177" t="s">
        <v>842</v>
      </c>
      <c r="D467" s="108"/>
      <c r="E467" s="110">
        <v>80</v>
      </c>
      <c r="F467" s="108"/>
      <c r="G467" s="102"/>
      <c r="H467" s="108" t="s">
        <v>320</v>
      </c>
      <c r="I467" s="104" t="str">
        <f>IF(G467="","",IF(G467=E467,"Pass",""))</f>
        <v/>
      </c>
      <c r="J467" s="111" t="s">
        <v>41</v>
      </c>
      <c r="K467" s="111"/>
      <c r="L467" s="112" t="s">
        <v>866</v>
      </c>
    </row>
    <row r="468" spans="1:12" s="113" customFormat="1" ht="25.2" customHeight="1">
      <c r="A468" s="108">
        <f>SUBTOTAL(103,$B$2:B468)*1</f>
        <v>349</v>
      </c>
      <c r="B468" s="109" t="s">
        <v>195</v>
      </c>
      <c r="C468" s="177" t="s">
        <v>843</v>
      </c>
      <c r="D468" s="108"/>
      <c r="E468" s="110">
        <v>160</v>
      </c>
      <c r="F468" s="108"/>
      <c r="G468" s="102">
        <v>160</v>
      </c>
      <c r="H468" s="108" t="s">
        <v>320</v>
      </c>
      <c r="I468" s="104" t="str">
        <f>IF(G468="","",IF(G468=E468,"Pass","Fail"))</f>
        <v>Pass</v>
      </c>
      <c r="J468" s="111" t="s">
        <v>41</v>
      </c>
      <c r="K468" s="111"/>
      <c r="L468" s="112" t="s">
        <v>866</v>
      </c>
    </row>
    <row r="469" spans="1:12" s="113" customFormat="1" ht="25.2" customHeight="1">
      <c r="A469" s="108">
        <f>SUBTOTAL(103,$B$2:B469)*1</f>
        <v>350</v>
      </c>
      <c r="B469" s="109" t="s">
        <v>195</v>
      </c>
      <c r="C469" s="177" t="s">
        <v>842</v>
      </c>
      <c r="D469" s="108"/>
      <c r="E469" s="110">
        <v>50</v>
      </c>
      <c r="F469" s="108"/>
      <c r="G469" s="102">
        <v>50</v>
      </c>
      <c r="H469" s="108" t="s">
        <v>320</v>
      </c>
      <c r="I469" s="104" t="str">
        <f>IF(G469="","",IF(G469=E469,"Pass","Fail"))</f>
        <v>Pass</v>
      </c>
      <c r="J469" s="111" t="s">
        <v>41</v>
      </c>
      <c r="K469" s="111"/>
      <c r="L469" s="112" t="s">
        <v>866</v>
      </c>
    </row>
    <row r="470" spans="1:12" s="113" customFormat="1" ht="25.2" customHeight="1">
      <c r="A470" s="108">
        <f>SUBTOTAL(103,$B$2:B470)*1</f>
        <v>351</v>
      </c>
      <c r="B470" s="109" t="s">
        <v>17</v>
      </c>
      <c r="C470" s="177" t="s">
        <v>1329</v>
      </c>
      <c r="D470" s="108"/>
      <c r="E470" s="110" t="s">
        <v>7</v>
      </c>
      <c r="F470" s="108"/>
      <c r="G470" s="102" t="s">
        <v>1706</v>
      </c>
      <c r="H470" s="108" t="s">
        <v>34</v>
      </c>
      <c r="I470" s="104" t="str">
        <f t="shared" ref="I470" si="36">IF(G470="","",IF(G470=E470,"Pass","Fail"))</f>
        <v>Pass</v>
      </c>
      <c r="J470" s="111" t="s">
        <v>6</v>
      </c>
      <c r="K470" s="111"/>
      <c r="L470" s="112"/>
    </row>
    <row r="471" spans="1:12" s="113" customFormat="1" ht="25.2" customHeight="1">
      <c r="A471" s="108">
        <f>SUBTOTAL(103,$B$2:B471)*1</f>
        <v>352</v>
      </c>
      <c r="B471" s="127" t="s">
        <v>1733</v>
      </c>
      <c r="C471" s="191" t="s">
        <v>1734</v>
      </c>
      <c r="D471" s="132"/>
      <c r="E471" s="110" t="s">
        <v>1735</v>
      </c>
      <c r="F471" s="132"/>
      <c r="G471" s="182" t="s">
        <v>1735</v>
      </c>
      <c r="H471" s="132" t="s">
        <v>1736</v>
      </c>
      <c r="I471" s="104" t="str">
        <f t="shared" ref="I471:I487" si="37">IF(G471="","",IF(G471=E471,"Pass","Fail"))</f>
        <v>Pass</v>
      </c>
      <c r="J471" s="111" t="s">
        <v>41</v>
      </c>
      <c r="K471" s="111"/>
      <c r="L471" s="112"/>
    </row>
    <row r="472" spans="1:12" s="113" customFormat="1" ht="25.2" customHeight="1">
      <c r="A472" s="108">
        <f>SUBTOTAL(103,$B$2:B472)*1</f>
        <v>353</v>
      </c>
      <c r="B472" s="127" t="s">
        <v>1733</v>
      </c>
      <c r="C472" s="191" t="s">
        <v>1737</v>
      </c>
      <c r="D472" s="132"/>
      <c r="E472" s="110"/>
      <c r="F472" s="132">
        <v>5</v>
      </c>
      <c r="G472" s="215">
        <v>2.87</v>
      </c>
      <c r="H472" s="132" t="s">
        <v>1738</v>
      </c>
      <c r="I472" s="104" t="str">
        <f>IF(G472="","",IF(AND(G472&lt;=F472),"Pass","Fail"))</f>
        <v>Pass</v>
      </c>
      <c r="J472" s="111" t="s">
        <v>41</v>
      </c>
      <c r="K472" s="121" t="s">
        <v>993</v>
      </c>
      <c r="L472" s="112" t="s">
        <v>809</v>
      </c>
    </row>
    <row r="473" spans="1:12" s="113" customFormat="1" ht="25.2" customHeight="1">
      <c r="A473" s="108">
        <f>SUBTOTAL(103,$B$2:B473)*1</f>
        <v>354</v>
      </c>
      <c r="B473" s="109" t="s">
        <v>17</v>
      </c>
      <c r="C473" s="177" t="s">
        <v>19</v>
      </c>
      <c r="D473" s="108"/>
      <c r="E473" s="110" t="s">
        <v>7</v>
      </c>
      <c r="F473" s="108"/>
      <c r="G473" s="102" t="s">
        <v>1706</v>
      </c>
      <c r="H473" s="108" t="s">
        <v>34</v>
      </c>
      <c r="I473" s="104" t="str">
        <f t="shared" si="37"/>
        <v>Pass</v>
      </c>
      <c r="J473" s="111" t="s">
        <v>6</v>
      </c>
      <c r="K473" s="111"/>
      <c r="L473" s="112"/>
    </row>
    <row r="474" spans="1:12" s="113" customFormat="1" ht="25.2" customHeight="1">
      <c r="A474" s="108">
        <f>SUBTOTAL(103,$B$2:B474)*1</f>
        <v>355</v>
      </c>
      <c r="B474" s="109" t="s">
        <v>17</v>
      </c>
      <c r="C474" s="177" t="s">
        <v>20</v>
      </c>
      <c r="D474" s="108"/>
      <c r="E474" s="110" t="s">
        <v>7</v>
      </c>
      <c r="F474" s="108"/>
      <c r="G474" s="102" t="s">
        <v>1706</v>
      </c>
      <c r="H474" s="108" t="s">
        <v>34</v>
      </c>
      <c r="I474" s="104" t="str">
        <f t="shared" si="37"/>
        <v>Pass</v>
      </c>
      <c r="J474" s="111" t="s">
        <v>6</v>
      </c>
      <c r="K474" s="111"/>
      <c r="L474" s="112"/>
    </row>
    <row r="475" spans="1:12" s="113" customFormat="1" ht="25.2" customHeight="1">
      <c r="A475" s="108">
        <f>SUBTOTAL(103,$B$2:B475)*1</f>
        <v>356</v>
      </c>
      <c r="B475" s="109" t="s">
        <v>17</v>
      </c>
      <c r="C475" s="177" t="s">
        <v>21</v>
      </c>
      <c r="D475" s="108"/>
      <c r="E475" s="110" t="s">
        <v>7</v>
      </c>
      <c r="F475" s="108"/>
      <c r="G475" s="102" t="s">
        <v>1706</v>
      </c>
      <c r="H475" s="108" t="s">
        <v>34</v>
      </c>
      <c r="I475" s="104" t="str">
        <f t="shared" si="37"/>
        <v>Pass</v>
      </c>
      <c r="J475" s="111" t="s">
        <v>6</v>
      </c>
      <c r="K475" s="111"/>
      <c r="L475" s="112"/>
    </row>
    <row r="476" spans="1:12" s="113" customFormat="1" ht="25.2" customHeight="1">
      <c r="A476" s="108">
        <f>SUBTOTAL(103,$B$2:B476)*1</f>
        <v>357</v>
      </c>
      <c r="B476" s="109" t="s">
        <v>17</v>
      </c>
      <c r="C476" s="177" t="s">
        <v>22</v>
      </c>
      <c r="D476" s="108"/>
      <c r="E476" s="110" t="s">
        <v>7</v>
      </c>
      <c r="F476" s="108"/>
      <c r="G476" s="102" t="s">
        <v>1706</v>
      </c>
      <c r="H476" s="108" t="s">
        <v>34</v>
      </c>
      <c r="I476" s="104" t="str">
        <f t="shared" si="37"/>
        <v>Pass</v>
      </c>
      <c r="J476" s="111" t="s">
        <v>6</v>
      </c>
      <c r="K476" s="111"/>
      <c r="L476" s="112"/>
    </row>
    <row r="477" spans="1:12" s="113" customFormat="1" ht="25.2" customHeight="1">
      <c r="A477" s="108">
        <f>SUBTOTAL(103,$B$2:B477)*1</f>
        <v>358</v>
      </c>
      <c r="B477" s="109" t="s">
        <v>17</v>
      </c>
      <c r="C477" s="177" t="s">
        <v>439</v>
      </c>
      <c r="D477" s="108"/>
      <c r="E477" s="110" t="s">
        <v>7</v>
      </c>
      <c r="F477" s="108"/>
      <c r="G477" s="102" t="s">
        <v>1706</v>
      </c>
      <c r="H477" s="108" t="s">
        <v>34</v>
      </c>
      <c r="I477" s="104" t="str">
        <f t="shared" si="37"/>
        <v>Pass</v>
      </c>
      <c r="J477" s="111" t="s">
        <v>6</v>
      </c>
      <c r="K477" s="111"/>
      <c r="L477" s="112" t="s">
        <v>1277</v>
      </c>
    </row>
    <row r="478" spans="1:12" s="113" customFormat="1" ht="25.2" customHeight="1">
      <c r="A478" s="108">
        <f>SUBTOTAL(103,$B$2:B478)*1</f>
        <v>359</v>
      </c>
      <c r="B478" s="109" t="s">
        <v>17</v>
      </c>
      <c r="C478" s="177" t="s">
        <v>36</v>
      </c>
      <c r="D478" s="108"/>
      <c r="E478" s="110" t="s">
        <v>7</v>
      </c>
      <c r="F478" s="108"/>
      <c r="G478" s="102" t="s">
        <v>1706</v>
      </c>
      <c r="H478" s="108" t="s">
        <v>34</v>
      </c>
      <c r="I478" s="104" t="str">
        <f t="shared" si="37"/>
        <v>Pass</v>
      </c>
      <c r="J478" s="147" t="s">
        <v>6</v>
      </c>
      <c r="K478" s="147"/>
      <c r="L478" s="112"/>
    </row>
    <row r="479" spans="1:12" s="113" customFormat="1" ht="25.2" customHeight="1">
      <c r="A479" s="108">
        <f>SUBTOTAL(103,$B$2:B479)*1</f>
        <v>360</v>
      </c>
      <c r="B479" s="109" t="s">
        <v>17</v>
      </c>
      <c r="C479" s="177" t="s">
        <v>37</v>
      </c>
      <c r="D479" s="108"/>
      <c r="E479" s="110" t="s">
        <v>7</v>
      </c>
      <c r="F479" s="108"/>
      <c r="G479" s="102" t="s">
        <v>1706</v>
      </c>
      <c r="H479" s="108" t="s">
        <v>34</v>
      </c>
      <c r="I479" s="104" t="str">
        <f t="shared" si="37"/>
        <v>Pass</v>
      </c>
      <c r="J479" s="147" t="s">
        <v>6</v>
      </c>
      <c r="K479" s="147"/>
      <c r="L479" s="112"/>
    </row>
    <row r="480" spans="1:12" s="113" customFormat="1" ht="25.2" customHeight="1">
      <c r="A480" s="108">
        <f>SUBTOTAL(103,$B$2:B480)*1</f>
        <v>361</v>
      </c>
      <c r="B480" s="109" t="s">
        <v>17</v>
      </c>
      <c r="C480" s="177" t="s">
        <v>492</v>
      </c>
      <c r="D480" s="108"/>
      <c r="E480" s="110" t="s">
        <v>7</v>
      </c>
      <c r="F480" s="108"/>
      <c r="G480" s="102" t="s">
        <v>1706</v>
      </c>
      <c r="H480" s="108" t="s">
        <v>34</v>
      </c>
      <c r="I480" s="104" t="str">
        <f t="shared" si="37"/>
        <v>Pass</v>
      </c>
      <c r="J480" s="147" t="s">
        <v>6</v>
      </c>
      <c r="K480" s="147"/>
      <c r="L480" s="112"/>
    </row>
    <row r="481" spans="1:12" s="113" customFormat="1" ht="25.2" customHeight="1">
      <c r="A481" s="108">
        <f>SUBTOTAL(103,$B$2:B481)*1</f>
        <v>362</v>
      </c>
      <c r="B481" s="109" t="s">
        <v>17</v>
      </c>
      <c r="C481" s="177" t="s">
        <v>40</v>
      </c>
      <c r="D481" s="108"/>
      <c r="E481" s="110" t="s">
        <v>355</v>
      </c>
      <c r="F481" s="108"/>
      <c r="G481" s="102" t="s">
        <v>354</v>
      </c>
      <c r="H481" s="108" t="s">
        <v>34</v>
      </c>
      <c r="I481" s="104" t="str">
        <f t="shared" si="37"/>
        <v>Pass</v>
      </c>
      <c r="J481" s="111" t="s">
        <v>6</v>
      </c>
      <c r="K481" s="111"/>
      <c r="L481" s="112"/>
    </row>
    <row r="482" spans="1:12" s="113" customFormat="1" ht="25.2" customHeight="1">
      <c r="A482" s="108">
        <f>SUBTOTAL(103,$B$2:B482)*1</f>
        <v>363</v>
      </c>
      <c r="B482" s="109" t="s">
        <v>17</v>
      </c>
      <c r="C482" s="177" t="s">
        <v>442</v>
      </c>
      <c r="D482" s="108"/>
      <c r="E482" s="110" t="s">
        <v>7</v>
      </c>
      <c r="F482" s="108"/>
      <c r="G482" s="102" t="s">
        <v>16</v>
      </c>
      <c r="H482" s="108" t="s">
        <v>34</v>
      </c>
      <c r="I482" s="104" t="str">
        <f t="shared" si="37"/>
        <v>Pass</v>
      </c>
      <c r="J482" s="111" t="s">
        <v>6</v>
      </c>
      <c r="K482" s="111"/>
      <c r="L482" s="112"/>
    </row>
    <row r="483" spans="1:12" s="113" customFormat="1" ht="25.2" customHeight="1">
      <c r="A483" s="108">
        <f>SUBTOTAL(103,$B$2:B483)*1</f>
        <v>364</v>
      </c>
      <c r="B483" s="109" t="s">
        <v>17</v>
      </c>
      <c r="C483" s="177" t="s">
        <v>207</v>
      </c>
      <c r="D483" s="108"/>
      <c r="E483" s="110" t="s">
        <v>1707</v>
      </c>
      <c r="F483" s="108"/>
      <c r="G483" s="102" t="s">
        <v>1690</v>
      </c>
      <c r="H483" s="108" t="s">
        <v>34</v>
      </c>
      <c r="I483" s="104" t="str">
        <f t="shared" si="37"/>
        <v>Pass</v>
      </c>
      <c r="J483" s="111" t="s">
        <v>6</v>
      </c>
      <c r="K483" s="111"/>
      <c r="L483" s="112" t="s">
        <v>689</v>
      </c>
    </row>
    <row r="484" spans="1:12" s="113" customFormat="1" ht="25.2" customHeight="1">
      <c r="A484" s="108">
        <f>SUBTOTAL(103,$B$2:B484)*1</f>
        <v>365</v>
      </c>
      <c r="B484" s="109" t="s">
        <v>17</v>
      </c>
      <c r="C484" s="177" t="s">
        <v>841</v>
      </c>
      <c r="D484" s="108"/>
      <c r="E484" s="110" t="s">
        <v>18</v>
      </c>
      <c r="F484" s="108"/>
      <c r="G484" s="102" t="s">
        <v>1708</v>
      </c>
      <c r="H484" s="108" t="s">
        <v>34</v>
      </c>
      <c r="I484" s="104" t="str">
        <f t="shared" si="37"/>
        <v>Pass</v>
      </c>
      <c r="J484" s="111" t="s">
        <v>6</v>
      </c>
      <c r="K484" s="111"/>
      <c r="L484" s="112" t="s">
        <v>865</v>
      </c>
    </row>
    <row r="485" spans="1:12" s="113" customFormat="1" ht="25.2" customHeight="1">
      <c r="A485" s="108">
        <f>SUBTOTAL(103,$B$2:B485)*1</f>
        <v>366</v>
      </c>
      <c r="B485" s="109" t="s">
        <v>17</v>
      </c>
      <c r="C485" s="177" t="s">
        <v>1165</v>
      </c>
      <c r="D485" s="108"/>
      <c r="E485" s="110" t="s">
        <v>1705</v>
      </c>
      <c r="F485" s="108"/>
      <c r="G485" s="179" t="s">
        <v>1704</v>
      </c>
      <c r="H485" s="108" t="s">
        <v>34</v>
      </c>
      <c r="I485" s="104" t="str">
        <f t="shared" si="37"/>
        <v>Pass</v>
      </c>
      <c r="J485" s="147" t="s">
        <v>6</v>
      </c>
      <c r="K485" s="147"/>
      <c r="L485" s="112" t="s">
        <v>1159</v>
      </c>
    </row>
    <row r="486" spans="1:12" s="113" customFormat="1" ht="25.2" customHeight="1">
      <c r="A486" s="108">
        <f>SUBTOTAL(103,$B$2:B486)*1</f>
        <v>367</v>
      </c>
      <c r="B486" s="109" t="s">
        <v>17</v>
      </c>
      <c r="C486" s="177" t="s">
        <v>1166</v>
      </c>
      <c r="D486" s="108"/>
      <c r="E486" s="110" t="s">
        <v>1704</v>
      </c>
      <c r="F486" s="108"/>
      <c r="G486" s="179" t="s">
        <v>1704</v>
      </c>
      <c r="H486" s="108" t="s">
        <v>34</v>
      </c>
      <c r="I486" s="104" t="str">
        <f t="shared" si="37"/>
        <v>Pass</v>
      </c>
      <c r="J486" s="147" t="s">
        <v>6</v>
      </c>
      <c r="K486" s="147"/>
      <c r="L486" s="112" t="s">
        <v>1159</v>
      </c>
    </row>
    <row r="487" spans="1:12" s="113" customFormat="1" ht="25.2" customHeight="1">
      <c r="A487" s="108">
        <f>SUBTOTAL(103,$B$2:B487)*1</f>
        <v>368</v>
      </c>
      <c r="B487" s="109" t="s">
        <v>17</v>
      </c>
      <c r="C487" s="177" t="s">
        <v>446</v>
      </c>
      <c r="D487" s="108"/>
      <c r="E487" s="110">
        <v>0.05</v>
      </c>
      <c r="F487" s="108"/>
      <c r="G487" s="102">
        <v>0.05</v>
      </c>
      <c r="H487" s="108" t="s">
        <v>127</v>
      </c>
      <c r="I487" s="104" t="str">
        <f t="shared" si="37"/>
        <v>Pass</v>
      </c>
      <c r="J487" s="111" t="s">
        <v>6</v>
      </c>
      <c r="K487" s="111"/>
      <c r="L487" s="112" t="s">
        <v>690</v>
      </c>
    </row>
    <row r="488" spans="1:12" s="113" customFormat="1" ht="25.2" customHeight="1">
      <c r="A488" s="108">
        <f>SUBTOTAL(103,$B$2:B488)*1</f>
        <v>369</v>
      </c>
      <c r="B488" s="109" t="s">
        <v>17</v>
      </c>
      <c r="C488" s="177" t="s">
        <v>39</v>
      </c>
      <c r="D488" s="108"/>
      <c r="E488" s="110">
        <v>38400</v>
      </c>
      <c r="F488" s="108"/>
      <c r="G488" s="102">
        <v>38400</v>
      </c>
      <c r="H488" s="108" t="s">
        <v>34</v>
      </c>
      <c r="I488" s="104" t="str">
        <f>IF(G488="","",IF(G488=E488,"Pass","Fail"))</f>
        <v>Pass</v>
      </c>
      <c r="J488" s="147" t="s">
        <v>6</v>
      </c>
      <c r="K488" s="147"/>
      <c r="L488" s="112"/>
    </row>
    <row r="489" spans="1:12" s="113" customFormat="1" ht="25.2" customHeight="1">
      <c r="A489" s="108">
        <f>SUBTOTAL(103,$B$2:B489)*1</f>
        <v>370</v>
      </c>
      <c r="B489" s="109" t="s">
        <v>17</v>
      </c>
      <c r="C489" s="177" t="s">
        <v>38</v>
      </c>
      <c r="D489" s="108"/>
      <c r="E489" s="110">
        <v>1</v>
      </c>
      <c r="F489" s="108"/>
      <c r="G489" s="102">
        <v>1</v>
      </c>
      <c r="H489" s="108" t="s">
        <v>34</v>
      </c>
      <c r="I489" s="104" t="str">
        <f>IF(G489="","",IF(G489=E489,"Pass","Fail"))</f>
        <v>Pass</v>
      </c>
      <c r="J489" s="147" t="s">
        <v>6</v>
      </c>
      <c r="K489" s="147"/>
      <c r="L489" s="112"/>
    </row>
    <row r="490" spans="1:12" s="113" customFormat="1" ht="25.2" customHeight="1">
      <c r="A490" s="108">
        <f>SUBTOTAL(103,$B$2:B490)*1</f>
        <v>371</v>
      </c>
      <c r="B490" s="109" t="s">
        <v>17</v>
      </c>
      <c r="C490" s="210" t="s">
        <v>551</v>
      </c>
      <c r="D490" s="199"/>
      <c r="E490" s="110"/>
      <c r="F490" s="123">
        <v>200</v>
      </c>
      <c r="G490" s="120">
        <v>11.7188</v>
      </c>
      <c r="H490" s="108" t="s">
        <v>125</v>
      </c>
      <c r="I490" s="104" t="str">
        <f t="shared" ref="I490:I513" si="38">IF(G490="","",IF(AND(G490&lt;=F490),"Pass","Fail"))</f>
        <v>Pass</v>
      </c>
      <c r="J490" s="111" t="s">
        <v>13</v>
      </c>
      <c r="K490" s="121" t="s">
        <v>993</v>
      </c>
      <c r="L490" s="180" t="s">
        <v>449</v>
      </c>
    </row>
    <row r="491" spans="1:12" s="113" customFormat="1" ht="25.2" customHeight="1">
      <c r="A491" s="108">
        <f>SUBTOTAL(103,$B$2:B491)*1</f>
        <v>372</v>
      </c>
      <c r="B491" s="109" t="s">
        <v>17</v>
      </c>
      <c r="C491" s="210" t="s">
        <v>552</v>
      </c>
      <c r="D491" s="199"/>
      <c r="E491" s="110"/>
      <c r="F491" s="123">
        <v>200</v>
      </c>
      <c r="G491" s="120">
        <v>42.480499999999999</v>
      </c>
      <c r="H491" s="108" t="s">
        <v>125</v>
      </c>
      <c r="I491" s="104" t="str">
        <f t="shared" si="38"/>
        <v>Pass</v>
      </c>
      <c r="J491" s="111" t="s">
        <v>13</v>
      </c>
      <c r="K491" s="121" t="s">
        <v>993</v>
      </c>
      <c r="L491" s="180" t="s">
        <v>42</v>
      </c>
    </row>
    <row r="492" spans="1:12" ht="25.2" customHeight="1">
      <c r="A492" s="108">
        <f>SUBTOTAL(103,$B$2:B492)*1</f>
        <v>373</v>
      </c>
      <c r="B492" s="109" t="s">
        <v>17</v>
      </c>
      <c r="C492" s="210" t="s">
        <v>553</v>
      </c>
      <c r="D492" s="199"/>
      <c r="E492" s="110"/>
      <c r="F492" s="123">
        <v>200</v>
      </c>
      <c r="G492" s="120">
        <v>34.4238</v>
      </c>
      <c r="H492" s="108" t="s">
        <v>125</v>
      </c>
      <c r="I492" s="104" t="str">
        <f t="shared" si="38"/>
        <v>Pass</v>
      </c>
      <c r="J492" s="111" t="s">
        <v>13</v>
      </c>
      <c r="K492" s="121" t="s">
        <v>993</v>
      </c>
      <c r="L492" s="180" t="s">
        <v>43</v>
      </c>
    </row>
    <row r="493" spans="1:12" ht="25.2" customHeight="1">
      <c r="A493" s="108">
        <f>SUBTOTAL(103,$B$2:B493)*1</f>
        <v>374</v>
      </c>
      <c r="B493" s="109" t="s">
        <v>17</v>
      </c>
      <c r="C493" s="210" t="s">
        <v>554</v>
      </c>
      <c r="D493" s="199"/>
      <c r="E493" s="110"/>
      <c r="F493" s="123">
        <v>200</v>
      </c>
      <c r="G493" s="120">
        <v>12.4512</v>
      </c>
      <c r="H493" s="108" t="s">
        <v>125</v>
      </c>
      <c r="I493" s="104" t="str">
        <f t="shared" si="38"/>
        <v>Pass</v>
      </c>
      <c r="J493" s="111" t="s">
        <v>13</v>
      </c>
      <c r="K493" s="121" t="s">
        <v>993</v>
      </c>
      <c r="L493" s="180" t="s">
        <v>44</v>
      </c>
    </row>
    <row r="494" spans="1:12" ht="25.2" customHeight="1">
      <c r="A494" s="108">
        <f>SUBTOTAL(103,$B$2:B494)*1</f>
        <v>375</v>
      </c>
      <c r="B494" s="109" t="s">
        <v>17</v>
      </c>
      <c r="C494" s="210" t="s">
        <v>555</v>
      </c>
      <c r="D494" s="199"/>
      <c r="E494" s="110"/>
      <c r="F494" s="123">
        <v>200</v>
      </c>
      <c r="G494" s="120">
        <v>18.310500000000001</v>
      </c>
      <c r="H494" s="108" t="s">
        <v>125</v>
      </c>
      <c r="I494" s="104" t="str">
        <f t="shared" si="38"/>
        <v>Pass</v>
      </c>
      <c r="J494" s="111" t="s">
        <v>13</v>
      </c>
      <c r="K494" s="121" t="s">
        <v>993</v>
      </c>
      <c r="L494" s="180" t="s">
        <v>45</v>
      </c>
    </row>
    <row r="495" spans="1:12" ht="25.2" customHeight="1">
      <c r="A495" s="108">
        <f>SUBTOTAL(103,$B$2:B495)*1</f>
        <v>376</v>
      </c>
      <c r="B495" s="109" t="s">
        <v>17</v>
      </c>
      <c r="C495" s="210" t="s">
        <v>556</v>
      </c>
      <c r="D495" s="199"/>
      <c r="E495" s="110"/>
      <c r="F495" s="123">
        <v>200</v>
      </c>
      <c r="G495" s="120">
        <v>24.9023</v>
      </c>
      <c r="H495" s="108" t="s">
        <v>125</v>
      </c>
      <c r="I495" s="104" t="str">
        <f t="shared" si="38"/>
        <v>Pass</v>
      </c>
      <c r="J495" s="111" t="s">
        <v>13</v>
      </c>
      <c r="K495" s="121" t="s">
        <v>993</v>
      </c>
      <c r="L495" s="180" t="s">
        <v>46</v>
      </c>
    </row>
    <row r="496" spans="1:12" ht="25.2" customHeight="1">
      <c r="A496" s="108">
        <f>SUBTOTAL(103,$B$2:B496)*1</f>
        <v>377</v>
      </c>
      <c r="B496" s="109" t="s">
        <v>17</v>
      </c>
      <c r="C496" s="210" t="s">
        <v>557</v>
      </c>
      <c r="D496" s="199"/>
      <c r="E496" s="110"/>
      <c r="F496" s="123">
        <v>200</v>
      </c>
      <c r="G496" s="120">
        <v>81.2988</v>
      </c>
      <c r="H496" s="108" t="s">
        <v>125</v>
      </c>
      <c r="I496" s="104" t="str">
        <f t="shared" si="38"/>
        <v>Pass</v>
      </c>
      <c r="J496" s="111" t="s">
        <v>13</v>
      </c>
      <c r="K496" s="121" t="s">
        <v>993</v>
      </c>
      <c r="L496" s="180" t="s">
        <v>47</v>
      </c>
    </row>
    <row r="497" spans="1:12" ht="25.2" customHeight="1">
      <c r="A497" s="108">
        <f>SUBTOTAL(103,$B$2:B497)*1</f>
        <v>378</v>
      </c>
      <c r="B497" s="109" t="s">
        <v>17</v>
      </c>
      <c r="C497" s="210" t="s">
        <v>558</v>
      </c>
      <c r="D497" s="199"/>
      <c r="E497" s="110"/>
      <c r="F497" s="123">
        <v>200</v>
      </c>
      <c r="G497" s="120">
        <v>43.212899999999998</v>
      </c>
      <c r="H497" s="108" t="s">
        <v>125</v>
      </c>
      <c r="I497" s="104" t="str">
        <f t="shared" si="38"/>
        <v>Pass</v>
      </c>
      <c r="J497" s="111" t="s">
        <v>13</v>
      </c>
      <c r="K497" s="121" t="s">
        <v>993</v>
      </c>
      <c r="L497" s="180" t="s">
        <v>48</v>
      </c>
    </row>
    <row r="498" spans="1:12" ht="25.2" customHeight="1">
      <c r="A498" s="132">
        <f>SUBTOTAL(103,$B$2:B498)*1</f>
        <v>379</v>
      </c>
      <c r="B498" s="127" t="s">
        <v>17</v>
      </c>
      <c r="C498" s="191" t="s">
        <v>901</v>
      </c>
      <c r="D498" s="132"/>
      <c r="E498" s="110"/>
      <c r="F498" s="216">
        <v>4</v>
      </c>
      <c r="G498" s="217">
        <v>0.62990000000000002</v>
      </c>
      <c r="H498" s="132" t="s">
        <v>127</v>
      </c>
      <c r="I498" s="149" t="str">
        <f t="shared" si="38"/>
        <v>Pass</v>
      </c>
      <c r="J498" s="111" t="s">
        <v>13</v>
      </c>
      <c r="K498" s="121" t="s">
        <v>993</v>
      </c>
      <c r="L498" s="112" t="s">
        <v>1585</v>
      </c>
    </row>
    <row r="499" spans="1:12" ht="25.2" customHeight="1">
      <c r="A499" s="132">
        <f>SUBTOTAL(103,$B$2:B499)*1</f>
        <v>380</v>
      </c>
      <c r="B499" s="127" t="s">
        <v>17</v>
      </c>
      <c r="C499" s="191" t="s">
        <v>902</v>
      </c>
      <c r="D499" s="132"/>
      <c r="E499" s="110"/>
      <c r="F499" s="216">
        <v>4</v>
      </c>
      <c r="G499" s="217">
        <v>1.792</v>
      </c>
      <c r="H499" s="132" t="s">
        <v>127</v>
      </c>
      <c r="I499" s="149" t="str">
        <f t="shared" si="38"/>
        <v>Pass</v>
      </c>
      <c r="J499" s="111" t="s">
        <v>13</v>
      </c>
      <c r="K499" s="121" t="s">
        <v>993</v>
      </c>
      <c r="L499" s="112" t="s">
        <v>1585</v>
      </c>
    </row>
    <row r="500" spans="1:12" ht="25.2" customHeight="1">
      <c r="A500" s="132">
        <f>SUBTOTAL(103,$B$2:B500)*1</f>
        <v>381</v>
      </c>
      <c r="B500" s="127" t="s">
        <v>17</v>
      </c>
      <c r="C500" s="191" t="s">
        <v>1554</v>
      </c>
      <c r="D500" s="132"/>
      <c r="E500" s="110"/>
      <c r="F500" s="216">
        <v>0.8</v>
      </c>
      <c r="G500" s="217">
        <v>0.1246</v>
      </c>
      <c r="H500" s="132" t="s">
        <v>127</v>
      </c>
      <c r="I500" s="149" t="str">
        <f t="shared" si="38"/>
        <v>Pass</v>
      </c>
      <c r="J500" s="111" t="s">
        <v>13</v>
      </c>
      <c r="K500" s="121" t="s">
        <v>993</v>
      </c>
      <c r="L500" s="112" t="s">
        <v>1585</v>
      </c>
    </row>
    <row r="501" spans="1:12" ht="25.2" customHeight="1">
      <c r="A501" s="132">
        <f>SUBTOTAL(103,$B$2:B501)*1</f>
        <v>382</v>
      </c>
      <c r="B501" s="127" t="s">
        <v>17</v>
      </c>
      <c r="C501" s="191" t="s">
        <v>1555</v>
      </c>
      <c r="D501" s="132"/>
      <c r="E501" s="110"/>
      <c r="F501" s="216">
        <v>0.8</v>
      </c>
      <c r="G501" s="217">
        <v>0.34200000000000003</v>
      </c>
      <c r="H501" s="132" t="s">
        <v>127</v>
      </c>
      <c r="I501" s="149" t="str">
        <f t="shared" si="38"/>
        <v>Pass</v>
      </c>
      <c r="J501" s="111" t="s">
        <v>13</v>
      </c>
      <c r="K501" s="121" t="s">
        <v>993</v>
      </c>
      <c r="L501" s="112" t="s">
        <v>1585</v>
      </c>
    </row>
    <row r="502" spans="1:12" ht="25.2" customHeight="1">
      <c r="A502" s="132">
        <f>SUBTOTAL(103,$B$2:B502)*1</f>
        <v>383</v>
      </c>
      <c r="B502" s="127" t="s">
        <v>17</v>
      </c>
      <c r="C502" s="191" t="s">
        <v>904</v>
      </c>
      <c r="D502" s="132"/>
      <c r="E502" s="110"/>
      <c r="F502" s="216">
        <v>4</v>
      </c>
      <c r="G502" s="217">
        <v>1.6942999999999999</v>
      </c>
      <c r="H502" s="132" t="s">
        <v>127</v>
      </c>
      <c r="I502" s="149" t="str">
        <f t="shared" si="38"/>
        <v>Pass</v>
      </c>
      <c r="J502" s="111" t="s">
        <v>13</v>
      </c>
      <c r="K502" s="121" t="s">
        <v>993</v>
      </c>
      <c r="L502" s="112" t="s">
        <v>1585</v>
      </c>
    </row>
    <row r="503" spans="1:12" ht="25.2" customHeight="1">
      <c r="A503" s="132">
        <f>SUBTOTAL(103,$B$2:B503)*1</f>
        <v>384</v>
      </c>
      <c r="B503" s="127" t="s">
        <v>17</v>
      </c>
      <c r="C503" s="191" t="s">
        <v>903</v>
      </c>
      <c r="D503" s="132"/>
      <c r="E503" s="110"/>
      <c r="F503" s="216">
        <v>4</v>
      </c>
      <c r="G503" s="217">
        <v>2.4268000000000001</v>
      </c>
      <c r="H503" s="132" t="s">
        <v>127</v>
      </c>
      <c r="I503" s="149" t="str">
        <f t="shared" si="38"/>
        <v>Pass</v>
      </c>
      <c r="J503" s="111" t="s">
        <v>13</v>
      </c>
      <c r="K503" s="121" t="s">
        <v>993</v>
      </c>
      <c r="L503" s="112" t="s">
        <v>1585</v>
      </c>
    </row>
    <row r="504" spans="1:12" ht="25.2" customHeight="1">
      <c r="A504" s="132">
        <f>SUBTOTAL(103,$B$2:B504)*1</f>
        <v>385</v>
      </c>
      <c r="B504" s="127" t="s">
        <v>17</v>
      </c>
      <c r="C504" s="191" t="s">
        <v>1556</v>
      </c>
      <c r="D504" s="132"/>
      <c r="E504" s="110"/>
      <c r="F504" s="216">
        <v>0.8</v>
      </c>
      <c r="G504" s="217">
        <v>0.27</v>
      </c>
      <c r="H504" s="132" t="s">
        <v>127</v>
      </c>
      <c r="I504" s="149" t="str">
        <f t="shared" si="38"/>
        <v>Pass</v>
      </c>
      <c r="J504" s="111" t="s">
        <v>13</v>
      </c>
      <c r="K504" s="121" t="s">
        <v>993</v>
      </c>
      <c r="L504" s="112" t="s">
        <v>1585</v>
      </c>
    </row>
    <row r="505" spans="1:12" ht="25.2" customHeight="1">
      <c r="A505" s="132">
        <f>SUBTOTAL(103,$B$2:B505)*1</f>
        <v>386</v>
      </c>
      <c r="B505" s="127" t="s">
        <v>17</v>
      </c>
      <c r="C505" s="191" t="s">
        <v>1557</v>
      </c>
      <c r="D505" s="132"/>
      <c r="E505" s="110"/>
      <c r="F505" s="216">
        <v>0.8</v>
      </c>
      <c r="G505" s="217">
        <v>0.47549999999999998</v>
      </c>
      <c r="H505" s="132" t="s">
        <v>127</v>
      </c>
      <c r="I505" s="149" t="str">
        <f t="shared" si="38"/>
        <v>Pass</v>
      </c>
      <c r="J505" s="111" t="s">
        <v>13</v>
      </c>
      <c r="K505" s="121" t="s">
        <v>993</v>
      </c>
      <c r="L505" s="112" t="s">
        <v>1585</v>
      </c>
    </row>
    <row r="506" spans="1:12" ht="25.2" customHeight="1">
      <c r="A506" s="132">
        <f>SUBTOTAL(103,$B$2:B506)*1</f>
        <v>387</v>
      </c>
      <c r="B506" s="127" t="s">
        <v>17</v>
      </c>
      <c r="C506" s="191" t="s">
        <v>905</v>
      </c>
      <c r="D506" s="132"/>
      <c r="E506" s="110"/>
      <c r="F506" s="216">
        <v>4</v>
      </c>
      <c r="G506" s="217">
        <v>2.0215000000000001</v>
      </c>
      <c r="H506" s="132" t="s">
        <v>127</v>
      </c>
      <c r="I506" s="149" t="str">
        <f t="shared" si="38"/>
        <v>Pass</v>
      </c>
      <c r="J506" s="111" t="s">
        <v>13</v>
      </c>
      <c r="K506" s="121" t="s">
        <v>993</v>
      </c>
      <c r="L506" s="112" t="s">
        <v>1585</v>
      </c>
    </row>
    <row r="507" spans="1:12" ht="25.2" customHeight="1">
      <c r="A507" s="132">
        <f>SUBTOTAL(103,$B$2:B507)*1</f>
        <v>388</v>
      </c>
      <c r="B507" s="127" t="s">
        <v>17</v>
      </c>
      <c r="C507" s="191" t="s">
        <v>906</v>
      </c>
      <c r="D507" s="132"/>
      <c r="E507" s="110"/>
      <c r="F507" s="216">
        <v>4</v>
      </c>
      <c r="G507" s="217">
        <v>2.2216999999999998</v>
      </c>
      <c r="H507" s="132" t="s">
        <v>127</v>
      </c>
      <c r="I507" s="149" t="str">
        <f t="shared" si="38"/>
        <v>Pass</v>
      </c>
      <c r="J507" s="111" t="s">
        <v>13</v>
      </c>
      <c r="K507" s="121" t="s">
        <v>993</v>
      </c>
      <c r="L507" s="112" t="s">
        <v>1585</v>
      </c>
    </row>
    <row r="508" spans="1:12" ht="25.2" customHeight="1">
      <c r="A508" s="132">
        <f>SUBTOTAL(103,$B$2:B508)*1</f>
        <v>389</v>
      </c>
      <c r="B508" s="127" t="s">
        <v>17</v>
      </c>
      <c r="C508" s="191" t="s">
        <v>1172</v>
      </c>
      <c r="D508" s="132"/>
      <c r="E508" s="110"/>
      <c r="F508" s="216">
        <v>0.8</v>
      </c>
      <c r="G508" s="217">
        <v>0.38569999999999999</v>
      </c>
      <c r="H508" s="132" t="s">
        <v>127</v>
      </c>
      <c r="I508" s="149" t="str">
        <f t="shared" si="38"/>
        <v>Pass</v>
      </c>
      <c r="J508" s="111" t="s">
        <v>13</v>
      </c>
      <c r="K508" s="121" t="s">
        <v>993</v>
      </c>
      <c r="L508" s="112" t="s">
        <v>1585</v>
      </c>
    </row>
    <row r="509" spans="1:12" ht="25.2" customHeight="1">
      <c r="A509" s="132">
        <f>SUBTOTAL(103,$B$2:B509)*1</f>
        <v>390</v>
      </c>
      <c r="B509" s="127" t="s">
        <v>17</v>
      </c>
      <c r="C509" s="191" t="s">
        <v>1173</v>
      </c>
      <c r="D509" s="132"/>
      <c r="E509" s="110"/>
      <c r="F509" s="216">
        <v>0.8</v>
      </c>
      <c r="G509" s="217">
        <v>0.45029999999999998</v>
      </c>
      <c r="H509" s="132" t="s">
        <v>127</v>
      </c>
      <c r="I509" s="149" t="str">
        <f t="shared" si="38"/>
        <v>Pass</v>
      </c>
      <c r="J509" s="111" t="s">
        <v>13</v>
      </c>
      <c r="K509" s="121" t="s">
        <v>993</v>
      </c>
      <c r="L509" s="112" t="s">
        <v>1585</v>
      </c>
    </row>
    <row r="510" spans="1:12" ht="25.2" customHeight="1">
      <c r="A510" s="132">
        <f>SUBTOTAL(103,$B$2:B510)*1</f>
        <v>391</v>
      </c>
      <c r="B510" s="127" t="s">
        <v>17</v>
      </c>
      <c r="C510" s="191" t="s">
        <v>907</v>
      </c>
      <c r="D510" s="132"/>
      <c r="E510" s="110"/>
      <c r="F510" s="216">
        <v>7.5</v>
      </c>
      <c r="G510" s="217">
        <v>0.6885</v>
      </c>
      <c r="H510" s="132" t="s">
        <v>127</v>
      </c>
      <c r="I510" s="149" t="str">
        <f t="shared" si="38"/>
        <v>Pass</v>
      </c>
      <c r="J510" s="111" t="s">
        <v>13</v>
      </c>
      <c r="K510" s="121" t="s">
        <v>993</v>
      </c>
      <c r="L510" s="112" t="s">
        <v>1585</v>
      </c>
    </row>
    <row r="511" spans="1:12" ht="25.2" customHeight="1">
      <c r="A511" s="132">
        <f>SUBTOTAL(103,$B$2:B511)*1</f>
        <v>392</v>
      </c>
      <c r="B511" s="127" t="s">
        <v>17</v>
      </c>
      <c r="C511" s="191" t="s">
        <v>908</v>
      </c>
      <c r="D511" s="132"/>
      <c r="E511" s="110"/>
      <c r="F511" s="216">
        <v>7.5</v>
      </c>
      <c r="G511" s="217">
        <v>1.8604000000000001</v>
      </c>
      <c r="H511" s="132" t="s">
        <v>127</v>
      </c>
      <c r="I511" s="149" t="str">
        <f t="shared" si="38"/>
        <v>Pass</v>
      </c>
      <c r="J511" s="111" t="s">
        <v>13</v>
      </c>
      <c r="K511" s="121" t="s">
        <v>993</v>
      </c>
      <c r="L511" s="112" t="s">
        <v>1585</v>
      </c>
    </row>
    <row r="512" spans="1:12" ht="25.2" customHeight="1">
      <c r="A512" s="132">
        <f>SUBTOTAL(103,$B$2:B512)*1</f>
        <v>393</v>
      </c>
      <c r="B512" s="127" t="s">
        <v>17</v>
      </c>
      <c r="C512" s="191" t="s">
        <v>1558</v>
      </c>
      <c r="D512" s="132"/>
      <c r="E512" s="110"/>
      <c r="F512" s="216">
        <v>2.2000000000000002</v>
      </c>
      <c r="G512" s="217">
        <v>0.14649999999999999</v>
      </c>
      <c r="H512" s="132" t="s">
        <v>127</v>
      </c>
      <c r="I512" s="149" t="str">
        <f t="shared" si="38"/>
        <v>Pass</v>
      </c>
      <c r="J512" s="111" t="s">
        <v>13</v>
      </c>
      <c r="K512" s="121" t="s">
        <v>993</v>
      </c>
      <c r="L512" s="112" t="s">
        <v>1585</v>
      </c>
    </row>
    <row r="513" spans="1:12" ht="25.2" customHeight="1">
      <c r="A513" s="132">
        <f>SUBTOTAL(103,$B$2:B513)*1</f>
        <v>394</v>
      </c>
      <c r="B513" s="127" t="s">
        <v>17</v>
      </c>
      <c r="C513" s="191" t="s">
        <v>1559</v>
      </c>
      <c r="D513" s="132"/>
      <c r="E513" s="110"/>
      <c r="F513" s="216">
        <v>2.2000000000000002</v>
      </c>
      <c r="G513" s="217">
        <v>0.46779999999999999</v>
      </c>
      <c r="H513" s="132" t="s">
        <v>127</v>
      </c>
      <c r="I513" s="149" t="str">
        <f t="shared" si="38"/>
        <v>Pass</v>
      </c>
      <c r="J513" s="111" t="s">
        <v>13</v>
      </c>
      <c r="K513" s="121" t="s">
        <v>993</v>
      </c>
      <c r="L513" s="112" t="s">
        <v>1585</v>
      </c>
    </row>
    <row r="514" spans="1:12" s="113" customFormat="1" ht="25.2" hidden="1" customHeight="1">
      <c r="A514" s="108">
        <f>SUBTOTAL(103,$B$2:B514)*1</f>
        <v>394</v>
      </c>
      <c r="B514" s="109" t="s">
        <v>33</v>
      </c>
      <c r="C514" s="177" t="s">
        <v>447</v>
      </c>
      <c r="D514" s="108"/>
      <c r="E514" s="110" t="s">
        <v>34</v>
      </c>
      <c r="F514" s="108"/>
      <c r="G514" s="102"/>
      <c r="H514" s="108" t="s">
        <v>34</v>
      </c>
      <c r="I514" s="104" t="s">
        <v>162</v>
      </c>
      <c r="J514" s="111" t="s">
        <v>6</v>
      </c>
      <c r="K514" s="111"/>
      <c r="L514" s="112" t="s">
        <v>923</v>
      </c>
    </row>
    <row r="515" spans="1:12" s="113" customFormat="1" ht="25.2" hidden="1" customHeight="1">
      <c r="A515" s="108">
        <f>SUBTOTAL(103,$B$2:B515)*1</f>
        <v>394</v>
      </c>
      <c r="B515" s="109" t="s">
        <v>33</v>
      </c>
      <c r="C515" s="177" t="s">
        <v>448</v>
      </c>
      <c r="D515" s="108"/>
      <c r="E515" s="110" t="s">
        <v>34</v>
      </c>
      <c r="F515" s="108"/>
      <c r="G515" s="102"/>
      <c r="H515" s="108" t="s">
        <v>34</v>
      </c>
      <c r="I515" s="104" t="s">
        <v>162</v>
      </c>
      <c r="J515" s="147" t="s">
        <v>6</v>
      </c>
      <c r="K515" s="147"/>
      <c r="L515" s="112" t="s">
        <v>923</v>
      </c>
    </row>
    <row r="516" spans="1:12" ht="25.2" hidden="1" customHeight="1">
      <c r="A516" s="108">
        <f>SUBTOTAL(103,$B$2:B516)*1</f>
        <v>394</v>
      </c>
      <c r="B516" s="109" t="s">
        <v>33</v>
      </c>
      <c r="C516" s="177" t="s">
        <v>153</v>
      </c>
      <c r="D516" s="108">
        <v>275000</v>
      </c>
      <c r="E516" s="110" t="s">
        <v>1426</v>
      </c>
      <c r="F516" s="108"/>
      <c r="G516" s="120">
        <f>ABS(G517)+ABS(G518)</f>
        <v>0</v>
      </c>
      <c r="H516" s="108" t="s">
        <v>127</v>
      </c>
      <c r="I516" s="104" t="str">
        <f>IF(G516="","",IF(AND(G516&gt;=D516),"Pass","Fail"))</f>
        <v>Fail</v>
      </c>
      <c r="J516" s="111" t="s">
        <v>6</v>
      </c>
      <c r="K516" s="111"/>
      <c r="L516" s="112" t="s">
        <v>522</v>
      </c>
    </row>
    <row r="517" spans="1:12" ht="25.2" hidden="1" customHeight="1">
      <c r="A517" s="108">
        <f>SUBTOTAL(103,$B$2:B517)*1</f>
        <v>394</v>
      </c>
      <c r="B517" s="109" t="s">
        <v>33</v>
      </c>
      <c r="C517" s="177" t="s">
        <v>28</v>
      </c>
      <c r="D517" s="108">
        <v>137500</v>
      </c>
      <c r="E517" s="110"/>
      <c r="F517" s="108"/>
      <c r="G517" s="102"/>
      <c r="H517" s="108" t="s">
        <v>127</v>
      </c>
      <c r="I517" s="104" t="str">
        <f>IF(G517="","",IF(G517&gt;=D517,"Pass","Fail"))</f>
        <v/>
      </c>
      <c r="J517" s="111" t="s">
        <v>6</v>
      </c>
      <c r="K517" s="111"/>
      <c r="L517" s="112"/>
    </row>
    <row r="518" spans="1:12" ht="25.2" hidden="1" customHeight="1">
      <c r="A518" s="108">
        <f>SUBTOTAL(103,$B$2:B518)*1</f>
        <v>394</v>
      </c>
      <c r="B518" s="109" t="s">
        <v>33</v>
      </c>
      <c r="C518" s="177" t="s">
        <v>29</v>
      </c>
      <c r="D518" s="108"/>
      <c r="E518" s="119"/>
      <c r="F518" s="108">
        <v>-137500</v>
      </c>
      <c r="G518" s="102"/>
      <c r="H518" s="108" t="s">
        <v>127</v>
      </c>
      <c r="I518" s="104" t="str">
        <f>IF(G518="","",IF(AND(G518&lt;=F518),"Pass","Fail"))</f>
        <v/>
      </c>
      <c r="J518" s="111" t="s">
        <v>6</v>
      </c>
      <c r="K518" s="111"/>
      <c r="L518" s="112"/>
    </row>
    <row r="519" spans="1:12" ht="25.2" hidden="1" customHeight="1">
      <c r="A519" s="108">
        <f>SUBTOTAL(103,$B$2:B519)*1</f>
        <v>394</v>
      </c>
      <c r="B519" s="109" t="s">
        <v>33</v>
      </c>
      <c r="C519" s="177" t="s">
        <v>154</v>
      </c>
      <c r="D519" s="108">
        <v>200000</v>
      </c>
      <c r="E519" s="110" t="s">
        <v>1427</v>
      </c>
      <c r="F519" s="108"/>
      <c r="G519" s="120">
        <f>ABS(G520)+ABS(G521)</f>
        <v>0</v>
      </c>
      <c r="H519" s="108" t="s">
        <v>127</v>
      </c>
      <c r="I519" s="104" t="str">
        <f>IF(G519="","",IF(AND(G519&gt;=D519),"Pass","Fail"))</f>
        <v>Fail</v>
      </c>
      <c r="J519" s="111" t="s">
        <v>6</v>
      </c>
      <c r="K519" s="111"/>
      <c r="L519" s="112" t="s">
        <v>522</v>
      </c>
    </row>
    <row r="520" spans="1:12" ht="25.2" hidden="1" customHeight="1">
      <c r="A520" s="108">
        <f>SUBTOTAL(103,$B$2:B520)*1</f>
        <v>394</v>
      </c>
      <c r="B520" s="109" t="s">
        <v>33</v>
      </c>
      <c r="C520" s="177" t="s">
        <v>30</v>
      </c>
      <c r="D520" s="108">
        <v>100000</v>
      </c>
      <c r="E520" s="110"/>
      <c r="F520" s="108"/>
      <c r="G520" s="102"/>
      <c r="H520" s="108" t="s">
        <v>127</v>
      </c>
      <c r="I520" s="104" t="str">
        <f>IF(G520="","",IF(G520&gt;=D520,"Pass","Fail"))</f>
        <v/>
      </c>
      <c r="J520" s="111" t="s">
        <v>6</v>
      </c>
      <c r="K520" s="111"/>
      <c r="L520" s="112"/>
    </row>
    <row r="521" spans="1:12" ht="25.2" hidden="1" customHeight="1">
      <c r="A521" s="108">
        <f>SUBTOTAL(103,$B$2:B521)*1</f>
        <v>394</v>
      </c>
      <c r="B521" s="109" t="s">
        <v>33</v>
      </c>
      <c r="C521" s="177" t="s">
        <v>31</v>
      </c>
      <c r="D521" s="108"/>
      <c r="E521" s="119"/>
      <c r="F521" s="108">
        <v>-100000</v>
      </c>
      <c r="G521" s="102"/>
      <c r="H521" s="108" t="s">
        <v>127</v>
      </c>
      <c r="I521" s="104" t="str">
        <f>IF(G521="","",IF(AND(G521&lt;=F521),"Pass","Fail"))</f>
        <v/>
      </c>
      <c r="J521" s="111" t="s">
        <v>6</v>
      </c>
      <c r="K521" s="111"/>
      <c r="L521" s="112"/>
    </row>
    <row r="522" spans="1:12" s="113" customFormat="1" ht="25.2" hidden="1" customHeight="1">
      <c r="A522" s="108">
        <f>SUBTOTAL(103,$B$2:B522)*1</f>
        <v>394</v>
      </c>
      <c r="B522" s="109" t="s">
        <v>32</v>
      </c>
      <c r="C522" s="177" t="s">
        <v>447</v>
      </c>
      <c r="D522" s="108"/>
      <c r="E522" s="110" t="s">
        <v>34</v>
      </c>
      <c r="F522" s="108"/>
      <c r="G522" s="102"/>
      <c r="H522" s="108" t="s">
        <v>34</v>
      </c>
      <c r="I522" s="104" t="s">
        <v>162</v>
      </c>
      <c r="J522" s="111" t="s">
        <v>6</v>
      </c>
      <c r="K522" s="111"/>
      <c r="L522" s="112" t="s">
        <v>923</v>
      </c>
    </row>
    <row r="523" spans="1:12" s="113" customFormat="1" ht="25.2" hidden="1" customHeight="1">
      <c r="A523" s="108">
        <f>SUBTOTAL(103,$B$2:B523)*1</f>
        <v>394</v>
      </c>
      <c r="B523" s="109" t="s">
        <v>32</v>
      </c>
      <c r="C523" s="177" t="s">
        <v>448</v>
      </c>
      <c r="D523" s="108"/>
      <c r="E523" s="110" t="s">
        <v>34</v>
      </c>
      <c r="F523" s="108"/>
      <c r="G523" s="102"/>
      <c r="H523" s="108" t="s">
        <v>34</v>
      </c>
      <c r="I523" s="104" t="s">
        <v>162</v>
      </c>
      <c r="J523" s="147" t="s">
        <v>6</v>
      </c>
      <c r="K523" s="147"/>
      <c r="L523" s="112" t="s">
        <v>923</v>
      </c>
    </row>
    <row r="524" spans="1:12" ht="25.2" hidden="1" customHeight="1">
      <c r="A524" s="108">
        <f>SUBTOTAL(103,$B$2:B524)*1</f>
        <v>394</v>
      </c>
      <c r="B524" s="109" t="s">
        <v>32</v>
      </c>
      <c r="C524" s="177" t="s">
        <v>153</v>
      </c>
      <c r="D524" s="108">
        <v>300000</v>
      </c>
      <c r="E524" s="110" t="s">
        <v>1428</v>
      </c>
      <c r="F524" s="117"/>
      <c r="G524" s="120">
        <f>ABS(G525)+ABS(G526)</f>
        <v>0</v>
      </c>
      <c r="H524" s="108" t="s">
        <v>127</v>
      </c>
      <c r="I524" s="104" t="str">
        <f>IF(G524="","",IF(AND(G524&gt;=D524),"Pass","Fail"))</f>
        <v>Fail</v>
      </c>
      <c r="J524" s="111" t="s">
        <v>6</v>
      </c>
      <c r="K524" s="111"/>
      <c r="L524" s="112" t="s">
        <v>522</v>
      </c>
    </row>
    <row r="525" spans="1:12" ht="25.2" hidden="1" customHeight="1">
      <c r="A525" s="108">
        <f>SUBTOTAL(103,$B$2:B525)*1</f>
        <v>394</v>
      </c>
      <c r="B525" s="109" t="s">
        <v>32</v>
      </c>
      <c r="C525" s="211" t="s">
        <v>28</v>
      </c>
      <c r="D525" s="108">
        <v>150000</v>
      </c>
      <c r="E525" s="110"/>
      <c r="F525" s="108"/>
      <c r="G525" s="102"/>
      <c r="H525" s="108" t="s">
        <v>127</v>
      </c>
      <c r="I525" s="104" t="str">
        <f>IF(G525="","",IF(G525&gt;=D525,"Pass","Fail"))</f>
        <v/>
      </c>
      <c r="J525" s="111" t="s">
        <v>6</v>
      </c>
      <c r="K525" s="181"/>
      <c r="L525" s="112"/>
    </row>
    <row r="526" spans="1:12" ht="25.2" hidden="1" customHeight="1">
      <c r="A526" s="108">
        <f>SUBTOTAL(103,$B$2:B526)*1</f>
        <v>394</v>
      </c>
      <c r="B526" s="109" t="s">
        <v>32</v>
      </c>
      <c r="C526" s="177" t="s">
        <v>29</v>
      </c>
      <c r="D526" s="108"/>
      <c r="E526" s="119"/>
      <c r="F526" s="117">
        <v>-150000</v>
      </c>
      <c r="G526" s="102"/>
      <c r="H526" s="108" t="s">
        <v>127</v>
      </c>
      <c r="I526" s="104" t="str">
        <f>IF(G526="","",IF(AND(G526&lt;=F526),"Pass","Fail"))</f>
        <v/>
      </c>
      <c r="J526" s="111" t="s">
        <v>6</v>
      </c>
      <c r="K526" s="111"/>
      <c r="L526" s="112"/>
    </row>
    <row r="527" spans="1:12" ht="25.2" hidden="1" customHeight="1">
      <c r="A527" s="108">
        <f>SUBTOTAL(103,$B$2:B527)*1</f>
        <v>394</v>
      </c>
      <c r="B527" s="109" t="s">
        <v>32</v>
      </c>
      <c r="C527" s="177" t="s">
        <v>154</v>
      </c>
      <c r="D527" s="108">
        <v>200000</v>
      </c>
      <c r="E527" s="110" t="s">
        <v>1427</v>
      </c>
      <c r="F527" s="108"/>
      <c r="G527" s="120">
        <f>ABS(G528)+ABS(G529)</f>
        <v>0</v>
      </c>
      <c r="H527" s="108" t="s">
        <v>127</v>
      </c>
      <c r="I527" s="104" t="str">
        <f>IF(G527="","",IF(AND(G527&gt;=D527),"Pass","Fail"))</f>
        <v>Fail</v>
      </c>
      <c r="J527" s="111" t="s">
        <v>6</v>
      </c>
      <c r="K527" s="111"/>
      <c r="L527" s="112" t="s">
        <v>522</v>
      </c>
    </row>
    <row r="528" spans="1:12" ht="25.2" hidden="1" customHeight="1">
      <c r="A528" s="108">
        <f>SUBTOTAL(103,$B$2:B528)*1</f>
        <v>394</v>
      </c>
      <c r="B528" s="109" t="s">
        <v>32</v>
      </c>
      <c r="C528" s="211" t="s">
        <v>30</v>
      </c>
      <c r="D528" s="108">
        <v>100000</v>
      </c>
      <c r="E528" s="110"/>
      <c r="F528" s="108"/>
      <c r="G528" s="102"/>
      <c r="H528" s="108" t="s">
        <v>127</v>
      </c>
      <c r="I528" s="104" t="str">
        <f>IF(G528="","",IF(G528&gt;=D528,"Pass","Fail"))</f>
        <v/>
      </c>
      <c r="J528" s="111" t="s">
        <v>6</v>
      </c>
      <c r="K528" s="181"/>
      <c r="L528" s="112"/>
    </row>
    <row r="529" spans="1:12" ht="25.2" hidden="1" customHeight="1">
      <c r="A529" s="108">
        <f>SUBTOTAL(103,$B$2:B529)*1</f>
        <v>394</v>
      </c>
      <c r="B529" s="109" t="s">
        <v>32</v>
      </c>
      <c r="C529" s="177" t="s">
        <v>31</v>
      </c>
      <c r="D529" s="108"/>
      <c r="E529" s="119"/>
      <c r="F529" s="108">
        <v>-100000</v>
      </c>
      <c r="G529" s="102"/>
      <c r="H529" s="108" t="s">
        <v>127</v>
      </c>
      <c r="I529" s="104" t="str">
        <f>IF(G529="","",IF(AND(G529&lt;=F529),"Pass","Fail"))</f>
        <v/>
      </c>
      <c r="J529" s="111" t="s">
        <v>6</v>
      </c>
      <c r="K529" s="111"/>
      <c r="L529" s="112"/>
    </row>
    <row r="530" spans="1:12" s="113" customFormat="1" ht="25.2" customHeight="1">
      <c r="A530" s="108">
        <f>SUBTOTAL(103,$B$2:B530)*1</f>
        <v>395</v>
      </c>
      <c r="B530" s="109" t="s">
        <v>27</v>
      </c>
      <c r="C530" s="177" t="s">
        <v>447</v>
      </c>
      <c r="D530" s="108"/>
      <c r="E530" s="110" t="s">
        <v>34</v>
      </c>
      <c r="F530" s="108"/>
      <c r="G530" s="224">
        <v>-200078</v>
      </c>
      <c r="H530" s="108" t="s">
        <v>34</v>
      </c>
      <c r="I530" s="104" t="str">
        <f>IF(G530="","","Pass")</f>
        <v>Pass</v>
      </c>
      <c r="J530" s="111" t="s">
        <v>6</v>
      </c>
      <c r="K530" s="111"/>
      <c r="L530" s="112" t="s">
        <v>923</v>
      </c>
    </row>
    <row r="531" spans="1:12" s="113" customFormat="1" ht="25.2" customHeight="1">
      <c r="A531" s="108">
        <f>SUBTOTAL(103,$B$2:B531)*1</f>
        <v>396</v>
      </c>
      <c r="B531" s="109" t="s">
        <v>27</v>
      </c>
      <c r="C531" s="177" t="s">
        <v>448</v>
      </c>
      <c r="D531" s="108"/>
      <c r="E531" s="110"/>
      <c r="F531" s="108">
        <v>-20000</v>
      </c>
      <c r="G531" s="102">
        <v>-39412.199999999997</v>
      </c>
      <c r="H531" s="108" t="s">
        <v>34</v>
      </c>
      <c r="I531" s="104" t="str">
        <f>IF(G531="","",IF(AND(G531&lt;=F531),"Pass","Fail"))</f>
        <v>Pass</v>
      </c>
      <c r="J531" s="147" t="s">
        <v>6</v>
      </c>
      <c r="K531" s="147"/>
      <c r="L531" s="112" t="s">
        <v>1091</v>
      </c>
    </row>
    <row r="532" spans="1:12" ht="25.2" customHeight="1">
      <c r="A532" s="108">
        <f>SUBTOTAL(103,$B$2:B532)*1</f>
        <v>397</v>
      </c>
      <c r="B532" s="109" t="s">
        <v>27</v>
      </c>
      <c r="C532" s="177" t="s">
        <v>153</v>
      </c>
      <c r="D532" s="123">
        <v>400000</v>
      </c>
      <c r="E532" s="110" t="s">
        <v>1429</v>
      </c>
      <c r="F532" s="108"/>
      <c r="G532" s="120">
        <f>ABS(G533)+ABS(G534)</f>
        <v>406838.4</v>
      </c>
      <c r="H532" s="108" t="s">
        <v>127</v>
      </c>
      <c r="I532" s="104" t="str">
        <f>IF(G532="","",IF(AND(G532&gt;=D532),"Pass","Fail"))</f>
        <v>Pass</v>
      </c>
      <c r="J532" s="111" t="s">
        <v>6</v>
      </c>
      <c r="K532" s="111"/>
      <c r="L532" s="112" t="s">
        <v>522</v>
      </c>
    </row>
    <row r="533" spans="1:12" ht="25.2" customHeight="1">
      <c r="A533" s="108">
        <f>SUBTOTAL(103,$B$2:B533)*1</f>
        <v>398</v>
      </c>
      <c r="B533" s="109" t="s">
        <v>27</v>
      </c>
      <c r="C533" s="211" t="s">
        <v>28</v>
      </c>
      <c r="D533" s="123">
        <v>200000</v>
      </c>
      <c r="E533" s="110"/>
      <c r="F533" s="108"/>
      <c r="G533" s="120">
        <v>203220</v>
      </c>
      <c r="H533" s="108" t="s">
        <v>127</v>
      </c>
      <c r="I533" s="104" t="str">
        <f>IF(G533="","",IF(G533&gt;=D533,"Pass","Fail"))</f>
        <v>Pass</v>
      </c>
      <c r="J533" s="111" t="s">
        <v>6</v>
      </c>
      <c r="K533" s="181"/>
      <c r="L533" s="112"/>
    </row>
    <row r="534" spans="1:12" ht="25.2" customHeight="1">
      <c r="A534" s="108">
        <f>SUBTOTAL(103,$B$2:B534)*1</f>
        <v>399</v>
      </c>
      <c r="B534" s="109" t="s">
        <v>27</v>
      </c>
      <c r="C534" s="177" t="s">
        <v>29</v>
      </c>
      <c r="D534" s="123"/>
      <c r="E534" s="119"/>
      <c r="F534" s="123">
        <v>-200000</v>
      </c>
      <c r="G534" s="120">
        <v>-203618.4</v>
      </c>
      <c r="H534" s="108" t="s">
        <v>127</v>
      </c>
      <c r="I534" s="104" t="str">
        <f>IF(G534="","",IF(AND(G534&lt;=F534),"Pass","Fail"))</f>
        <v>Pass</v>
      </c>
      <c r="J534" s="111" t="s">
        <v>6</v>
      </c>
      <c r="K534" s="111"/>
      <c r="L534" s="112"/>
    </row>
    <row r="535" spans="1:12" ht="25.2" customHeight="1">
      <c r="A535" s="108">
        <f>SUBTOTAL(103,$B$2:B535)*1</f>
        <v>400</v>
      </c>
      <c r="B535" s="109" t="s">
        <v>27</v>
      </c>
      <c r="C535" s="177" t="s">
        <v>154</v>
      </c>
      <c r="D535" s="123">
        <v>300000</v>
      </c>
      <c r="E535" s="110" t="s">
        <v>1428</v>
      </c>
      <c r="F535" s="200"/>
      <c r="G535" s="120">
        <f>ABS(G536)+ABS(G537)</f>
        <v>302279.7</v>
      </c>
      <c r="H535" s="108" t="s">
        <v>127</v>
      </c>
      <c r="I535" s="104" t="str">
        <f>IF(G535="","",IF(AND(G535&gt;=D535),"Pass","Fail"))</f>
        <v>Pass</v>
      </c>
      <c r="J535" s="111" t="s">
        <v>6</v>
      </c>
      <c r="K535" s="111"/>
      <c r="L535" s="112" t="s">
        <v>522</v>
      </c>
    </row>
    <row r="536" spans="1:12" ht="25.2" customHeight="1">
      <c r="A536" s="108">
        <f>SUBTOTAL(103,$B$2:B536)*1</f>
        <v>401</v>
      </c>
      <c r="B536" s="109" t="s">
        <v>27</v>
      </c>
      <c r="C536" s="211" t="s">
        <v>30</v>
      </c>
      <c r="D536" s="123">
        <v>150000</v>
      </c>
      <c r="E536" s="110"/>
      <c r="F536" s="123"/>
      <c r="G536" s="120">
        <v>151767.20000000001</v>
      </c>
      <c r="H536" s="108" t="s">
        <v>127</v>
      </c>
      <c r="I536" s="104" t="str">
        <f>IF(G536="","",IF(G536&gt;=D536,"Pass","Fail"))</f>
        <v>Pass</v>
      </c>
      <c r="J536" s="111" t="s">
        <v>6</v>
      </c>
      <c r="K536" s="181"/>
      <c r="L536" s="112"/>
    </row>
    <row r="537" spans="1:12" ht="25.2" customHeight="1">
      <c r="A537" s="108">
        <f>SUBTOTAL(103,$B$2:B537)*1</f>
        <v>402</v>
      </c>
      <c r="B537" s="109" t="s">
        <v>27</v>
      </c>
      <c r="C537" s="177" t="s">
        <v>31</v>
      </c>
      <c r="D537" s="123"/>
      <c r="E537" s="119"/>
      <c r="F537" s="200">
        <v>-150000</v>
      </c>
      <c r="G537" s="120">
        <v>-150512.5</v>
      </c>
      <c r="H537" s="108" t="s">
        <v>127</v>
      </c>
      <c r="I537" s="104" t="str">
        <f>IF(G537="","",IF(AND(G537&lt;=F537),"Pass","Fail"))</f>
        <v>Pass</v>
      </c>
      <c r="J537" s="111" t="s">
        <v>6</v>
      </c>
      <c r="K537" s="111"/>
      <c r="L537" s="112"/>
    </row>
    <row r="538" spans="1:12" ht="25.2" hidden="1" customHeight="1">
      <c r="A538" s="108">
        <f>SUBTOTAL(103,$B$2:B538)*1</f>
        <v>402</v>
      </c>
      <c r="B538" s="109" t="s">
        <v>196</v>
      </c>
      <c r="C538" s="177" t="s">
        <v>166</v>
      </c>
      <c r="D538" s="108">
        <v>200000</v>
      </c>
      <c r="E538" s="212" t="s">
        <v>1430</v>
      </c>
      <c r="F538" s="117"/>
      <c r="G538" s="120">
        <f>ABS(G539)+ABS(G540)</f>
        <v>0</v>
      </c>
      <c r="H538" s="108" t="s">
        <v>127</v>
      </c>
      <c r="I538" s="104" t="str">
        <f>IF(G538="","",IF(AND(G538&gt;=D538),"Pass","Fail"))</f>
        <v>Fail</v>
      </c>
      <c r="J538" s="111" t="s">
        <v>6</v>
      </c>
      <c r="K538" s="111"/>
      <c r="L538" s="112"/>
    </row>
    <row r="539" spans="1:12" ht="25.2" hidden="1" customHeight="1">
      <c r="A539" s="108">
        <f>SUBTOTAL(103,$B$2:B539)*1</f>
        <v>402</v>
      </c>
      <c r="B539" s="109" t="s">
        <v>196</v>
      </c>
      <c r="C539" s="177" t="s">
        <v>23</v>
      </c>
      <c r="D539" s="108">
        <v>100000</v>
      </c>
      <c r="E539" s="110"/>
      <c r="F539" s="108">
        <v>105000</v>
      </c>
      <c r="G539" s="102"/>
      <c r="H539" s="108" t="s">
        <v>127</v>
      </c>
      <c r="I539" s="104" t="str">
        <f>IF(G539="","",IF(AND(G539&gt;=D539,G539&lt;=F539),"Pass","Fail"))</f>
        <v/>
      </c>
      <c r="J539" s="111" t="s">
        <v>6</v>
      </c>
      <c r="K539" s="111"/>
      <c r="L539" s="112"/>
    </row>
    <row r="540" spans="1:12" ht="25.2" hidden="1" customHeight="1">
      <c r="A540" s="108">
        <f>SUBTOTAL(103,$B$2:B540)*1</f>
        <v>402</v>
      </c>
      <c r="B540" s="109" t="s">
        <v>196</v>
      </c>
      <c r="C540" s="177" t="s">
        <v>24</v>
      </c>
      <c r="D540" s="108">
        <v>-105000</v>
      </c>
      <c r="E540" s="119"/>
      <c r="F540" s="117">
        <v>-100000</v>
      </c>
      <c r="G540" s="102"/>
      <c r="H540" s="108" t="s">
        <v>127</v>
      </c>
      <c r="I540" s="104" t="str">
        <f>IF(G540="","",IF(AND(G540&gt;=D540,G540&lt;=F540),"Pass","Fail"))</f>
        <v/>
      </c>
      <c r="J540" s="111" t="s">
        <v>6</v>
      </c>
      <c r="K540" s="111"/>
      <c r="L540" s="112"/>
    </row>
    <row r="541" spans="1:12" ht="25.2" hidden="1" customHeight="1">
      <c r="A541" s="108">
        <f>SUBTOTAL(103,$B$2:B541)*1</f>
        <v>402</v>
      </c>
      <c r="B541" s="109" t="s">
        <v>196</v>
      </c>
      <c r="C541" s="177" t="s">
        <v>167</v>
      </c>
      <c r="D541" s="108">
        <v>200000</v>
      </c>
      <c r="E541" s="212" t="s">
        <v>1430</v>
      </c>
      <c r="F541" s="117"/>
      <c r="G541" s="120">
        <f>ABS(G542)+ABS(G543)</f>
        <v>0</v>
      </c>
      <c r="H541" s="108" t="s">
        <v>127</v>
      </c>
      <c r="I541" s="104" t="str">
        <f>IF(G541="","",IF(AND(G541&gt;=D541),"Pass","Fail"))</f>
        <v>Fail</v>
      </c>
      <c r="J541" s="111" t="s">
        <v>6</v>
      </c>
      <c r="K541" s="111"/>
      <c r="L541" s="112"/>
    </row>
    <row r="542" spans="1:12" ht="25.2" hidden="1" customHeight="1">
      <c r="A542" s="108">
        <f>SUBTOTAL(103,$B$2:B542)*1</f>
        <v>402</v>
      </c>
      <c r="B542" s="109" t="s">
        <v>196</v>
      </c>
      <c r="C542" s="177" t="s">
        <v>25</v>
      </c>
      <c r="D542" s="108">
        <v>100000</v>
      </c>
      <c r="E542" s="110"/>
      <c r="F542" s="108">
        <v>105000</v>
      </c>
      <c r="G542" s="179"/>
      <c r="H542" s="108" t="s">
        <v>127</v>
      </c>
      <c r="I542" s="104" t="str">
        <f>IF(G542="","",IF(AND(G542&gt;=D542,G542&lt;=F542),"Pass","Fail"))</f>
        <v/>
      </c>
      <c r="J542" s="111" t="s">
        <v>6</v>
      </c>
      <c r="K542" s="111"/>
      <c r="L542" s="112"/>
    </row>
    <row r="543" spans="1:12" ht="25.2" hidden="1" customHeight="1">
      <c r="A543" s="108">
        <f>SUBTOTAL(103,$B$2:B543)*1</f>
        <v>402</v>
      </c>
      <c r="B543" s="109" t="s">
        <v>196</v>
      </c>
      <c r="C543" s="177" t="s">
        <v>26</v>
      </c>
      <c r="D543" s="108">
        <v>-105000</v>
      </c>
      <c r="E543" s="119"/>
      <c r="F543" s="117">
        <v>-100000</v>
      </c>
      <c r="G543" s="179"/>
      <c r="H543" s="108" t="s">
        <v>127</v>
      </c>
      <c r="I543" s="104" t="str">
        <f>IF(G543="","",IF(AND(G543&gt;=D543,G543&lt;=F543),"Pass","Fail"))</f>
        <v/>
      </c>
      <c r="J543" s="111" t="s">
        <v>6</v>
      </c>
      <c r="K543" s="111"/>
      <c r="L543" s="112"/>
    </row>
    <row r="544" spans="1:12" ht="25.2" customHeight="1">
      <c r="A544" s="108">
        <f>SUBTOTAL(103,$B$2:B544)*1</f>
        <v>403</v>
      </c>
      <c r="B544" s="109" t="s">
        <v>197</v>
      </c>
      <c r="C544" s="177" t="s">
        <v>166</v>
      </c>
      <c r="D544" s="123">
        <v>300000</v>
      </c>
      <c r="E544" s="212" t="s">
        <v>1431</v>
      </c>
      <c r="F544" s="200"/>
      <c r="G544" s="120">
        <f>ABS(G545)+ABS(G546)</f>
        <v>300274.64</v>
      </c>
      <c r="H544" s="108" t="s">
        <v>127</v>
      </c>
      <c r="I544" s="104" t="str">
        <f>IF(G544="","",IF(AND(G544&gt;=D544),"Pass","Fail"))</f>
        <v>Pass</v>
      </c>
      <c r="J544" s="111" t="s">
        <v>6</v>
      </c>
      <c r="K544" s="111"/>
      <c r="L544" s="112"/>
    </row>
    <row r="545" spans="1:12" s="113" customFormat="1" ht="25.2" customHeight="1">
      <c r="A545" s="108">
        <f>SUBTOTAL(103,$B$2:B545)*1</f>
        <v>404</v>
      </c>
      <c r="B545" s="109" t="s">
        <v>197</v>
      </c>
      <c r="C545" s="177" t="s">
        <v>23</v>
      </c>
      <c r="D545" s="123">
        <v>150000</v>
      </c>
      <c r="E545" s="110"/>
      <c r="F545" s="123">
        <v>155000</v>
      </c>
      <c r="G545" s="120">
        <v>150204.79</v>
      </c>
      <c r="H545" s="108" t="s">
        <v>127</v>
      </c>
      <c r="I545" s="104" t="str">
        <f>IF(G545="","",IF(AND(G545&gt;=D545,G545&lt;=F545),"Pass","Fail"))</f>
        <v>Pass</v>
      </c>
      <c r="J545" s="111" t="s">
        <v>6</v>
      </c>
      <c r="K545" s="111"/>
      <c r="L545" s="112"/>
    </row>
    <row r="546" spans="1:12" s="113" customFormat="1" ht="25.2" customHeight="1">
      <c r="A546" s="108">
        <f>SUBTOTAL(103,$B$2:B546)*1</f>
        <v>405</v>
      </c>
      <c r="B546" s="109" t="s">
        <v>197</v>
      </c>
      <c r="C546" s="177" t="s">
        <v>24</v>
      </c>
      <c r="D546" s="123">
        <v>-155000</v>
      </c>
      <c r="E546" s="119"/>
      <c r="F546" s="200">
        <v>-150000</v>
      </c>
      <c r="G546" s="120">
        <v>-150069.85</v>
      </c>
      <c r="H546" s="108" t="s">
        <v>127</v>
      </c>
      <c r="I546" s="104" t="str">
        <f>IF(G546="","",IF(AND(G546&gt;=D546,G546&lt;=F546),"Pass","Fail"))</f>
        <v>Pass</v>
      </c>
      <c r="J546" s="111" t="s">
        <v>6</v>
      </c>
      <c r="K546" s="111"/>
      <c r="L546" s="112"/>
    </row>
    <row r="547" spans="1:12" ht="25.2" customHeight="1">
      <c r="A547" s="108">
        <f>SUBTOTAL(103,$B$2:B547)*1</f>
        <v>406</v>
      </c>
      <c r="B547" s="109" t="s">
        <v>197</v>
      </c>
      <c r="C547" s="177" t="s">
        <v>167</v>
      </c>
      <c r="D547" s="123">
        <v>300000</v>
      </c>
      <c r="E547" s="212" t="s">
        <v>1431</v>
      </c>
      <c r="F547" s="200"/>
      <c r="G547" s="120">
        <f>ABS(G548)+ABS(G549)</f>
        <v>300504.41000000003</v>
      </c>
      <c r="H547" s="108" t="s">
        <v>127</v>
      </c>
      <c r="I547" s="104" t="str">
        <f>IF(G547="","",IF(AND(G547&gt;=D547),"Pass","Fail"))</f>
        <v>Pass</v>
      </c>
      <c r="J547" s="111" t="s">
        <v>6</v>
      </c>
      <c r="K547" s="111"/>
      <c r="L547" s="112"/>
    </row>
    <row r="548" spans="1:12" ht="25.2" customHeight="1">
      <c r="A548" s="108">
        <f>SUBTOTAL(103,$B$2:B548)*1</f>
        <v>407</v>
      </c>
      <c r="B548" s="109" t="s">
        <v>197</v>
      </c>
      <c r="C548" s="177" t="s">
        <v>25</v>
      </c>
      <c r="D548" s="123">
        <v>150000</v>
      </c>
      <c r="E548" s="110"/>
      <c r="F548" s="123">
        <v>155000</v>
      </c>
      <c r="G548" s="120">
        <v>150129.72</v>
      </c>
      <c r="H548" s="108" t="s">
        <v>127</v>
      </c>
      <c r="I548" s="104" t="str">
        <f>IF(G548="","",IF(AND(G548&gt;=D548,G548&lt;=F548),"Pass","Fail"))</f>
        <v>Pass</v>
      </c>
      <c r="J548" s="111" t="s">
        <v>6</v>
      </c>
      <c r="K548" s="111"/>
      <c r="L548" s="112"/>
    </row>
    <row r="549" spans="1:12" ht="25.2" customHeight="1">
      <c r="A549" s="108">
        <f>SUBTOTAL(103,$B$2:B549)*1</f>
        <v>408</v>
      </c>
      <c r="B549" s="109" t="s">
        <v>197</v>
      </c>
      <c r="C549" s="177" t="s">
        <v>26</v>
      </c>
      <c r="D549" s="123">
        <v>-155000</v>
      </c>
      <c r="E549" s="119"/>
      <c r="F549" s="200">
        <v>-150000</v>
      </c>
      <c r="G549" s="120">
        <v>-150374.69</v>
      </c>
      <c r="H549" s="108" t="s">
        <v>127</v>
      </c>
      <c r="I549" s="104" t="str">
        <f>IF(G549="","",IF(AND(G549&gt;=D549,G549&lt;=F549),"Pass","Fail"))</f>
        <v>Pass</v>
      </c>
      <c r="J549" s="111" t="s">
        <v>6</v>
      </c>
      <c r="K549" s="111"/>
      <c r="L549" s="112"/>
    </row>
    <row r="550" spans="1:12" ht="25.2" customHeight="1">
      <c r="A550" s="108">
        <f>SUBTOTAL(103,$B$2:B550)*1</f>
        <v>409</v>
      </c>
      <c r="B550" s="109" t="s">
        <v>5</v>
      </c>
      <c r="C550" s="177" t="s">
        <v>9</v>
      </c>
      <c r="D550" s="108"/>
      <c r="E550" s="110" t="s">
        <v>7</v>
      </c>
      <c r="F550" s="108"/>
      <c r="G550" s="102" t="s">
        <v>1706</v>
      </c>
      <c r="H550" s="108" t="s">
        <v>34</v>
      </c>
      <c r="I550" s="104" t="str">
        <f t="shared" ref="I550:I555" si="39">IF(G550="","",IF(G550=E550,"Pass","Fail"))</f>
        <v>Pass</v>
      </c>
      <c r="J550" s="111" t="s">
        <v>6</v>
      </c>
      <c r="K550" s="111"/>
      <c r="L550" s="112"/>
    </row>
    <row r="551" spans="1:12" ht="25.2" customHeight="1">
      <c r="A551" s="108">
        <f>SUBTOTAL(103,$B$2:B551)*1</f>
        <v>410</v>
      </c>
      <c r="B551" s="109" t="s">
        <v>5</v>
      </c>
      <c r="C551" s="177" t="s">
        <v>10</v>
      </c>
      <c r="D551" s="108"/>
      <c r="E551" s="110" t="s">
        <v>7</v>
      </c>
      <c r="F551" s="108"/>
      <c r="G551" s="102" t="s">
        <v>1706</v>
      </c>
      <c r="H551" s="108" t="s">
        <v>34</v>
      </c>
      <c r="I551" s="104" t="str">
        <f t="shared" si="39"/>
        <v>Pass</v>
      </c>
      <c r="J551" s="111" t="s">
        <v>6</v>
      </c>
      <c r="K551" s="111"/>
      <c r="L551" s="112"/>
    </row>
    <row r="552" spans="1:12" ht="25.2" customHeight="1">
      <c r="A552" s="108">
        <f>SUBTOTAL(103,$B$2:B552)*1</f>
        <v>411</v>
      </c>
      <c r="B552" s="109" t="s">
        <v>5</v>
      </c>
      <c r="C552" s="177" t="s">
        <v>458</v>
      </c>
      <c r="D552" s="108"/>
      <c r="E552" s="110" t="s">
        <v>7</v>
      </c>
      <c r="F552" s="108"/>
      <c r="G552" s="102" t="s">
        <v>1706</v>
      </c>
      <c r="H552" s="108" t="s">
        <v>34</v>
      </c>
      <c r="I552" s="104" t="str">
        <f t="shared" si="39"/>
        <v>Pass</v>
      </c>
      <c r="J552" s="111" t="s">
        <v>6</v>
      </c>
      <c r="K552" s="111"/>
      <c r="L552" s="112" t="s">
        <v>1276</v>
      </c>
    </row>
    <row r="553" spans="1:12" ht="25.2" customHeight="1">
      <c r="A553" s="108">
        <f>SUBTOTAL(103,$B$2:B553)*1</f>
        <v>412</v>
      </c>
      <c r="B553" s="109" t="s">
        <v>5</v>
      </c>
      <c r="C553" s="177" t="s">
        <v>1271</v>
      </c>
      <c r="D553" s="108"/>
      <c r="E553" s="110" t="s">
        <v>7</v>
      </c>
      <c r="F553" s="108"/>
      <c r="G553" s="102" t="s">
        <v>1706</v>
      </c>
      <c r="H553" s="108" t="s">
        <v>34</v>
      </c>
      <c r="I553" s="104" t="str">
        <f t="shared" si="39"/>
        <v>Pass</v>
      </c>
      <c r="J553" s="111" t="s">
        <v>6</v>
      </c>
      <c r="K553" s="111"/>
      <c r="L553" s="112"/>
    </row>
    <row r="554" spans="1:12" ht="25.2" customHeight="1">
      <c r="A554" s="108">
        <f>SUBTOTAL(103,$B$2:B554)*1</f>
        <v>413</v>
      </c>
      <c r="B554" s="109" t="s">
        <v>5</v>
      </c>
      <c r="C554" s="177" t="s">
        <v>207</v>
      </c>
      <c r="D554" s="108"/>
      <c r="E554" s="110" t="s">
        <v>1707</v>
      </c>
      <c r="F554" s="108"/>
      <c r="G554" s="102" t="s">
        <v>1690</v>
      </c>
      <c r="H554" s="108" t="s">
        <v>34</v>
      </c>
      <c r="I554" s="104" t="str">
        <f t="shared" si="39"/>
        <v>Pass</v>
      </c>
      <c r="J554" s="111" t="s">
        <v>6</v>
      </c>
      <c r="K554" s="111"/>
      <c r="L554" s="112" t="s">
        <v>689</v>
      </c>
    </row>
    <row r="555" spans="1:12" ht="25.2" customHeight="1">
      <c r="A555" s="108">
        <f>SUBTOTAL(103,$B$2:B555)*1</f>
        <v>414</v>
      </c>
      <c r="B555" s="109" t="s">
        <v>5</v>
      </c>
      <c r="C555" s="177" t="s">
        <v>1158</v>
      </c>
      <c r="D555" s="108"/>
      <c r="E555" s="110" t="s">
        <v>1705</v>
      </c>
      <c r="F555" s="108"/>
      <c r="G555" s="102" t="s">
        <v>1704</v>
      </c>
      <c r="H555" s="108" t="s">
        <v>34</v>
      </c>
      <c r="I555" s="104" t="str">
        <f t="shared" si="39"/>
        <v>Pass</v>
      </c>
      <c r="J555" s="111" t="s">
        <v>6</v>
      </c>
      <c r="K555" s="111"/>
      <c r="L555" s="112" t="s">
        <v>1159</v>
      </c>
    </row>
    <row r="556" spans="1:12" ht="25.2" customHeight="1">
      <c r="A556" s="108">
        <f>SUBTOTAL(103,$B$2:B556)*1</f>
        <v>415</v>
      </c>
      <c r="B556" s="109" t="s">
        <v>1272</v>
      </c>
      <c r="C556" s="177" t="s">
        <v>1278</v>
      </c>
      <c r="D556" s="108"/>
      <c r="E556" s="110" t="s">
        <v>7</v>
      </c>
      <c r="F556" s="108"/>
      <c r="G556" s="102" t="s">
        <v>7</v>
      </c>
      <c r="H556" s="108" t="s">
        <v>34</v>
      </c>
      <c r="I556" s="104" t="str">
        <f t="shared" ref="I556" si="40">IF(G556="","",IF(G556=E556,"Pass","Fail"))</f>
        <v>Pass</v>
      </c>
      <c r="J556" s="111" t="s">
        <v>6</v>
      </c>
      <c r="K556" s="111"/>
      <c r="L556" s="112"/>
    </row>
    <row r="557" spans="1:12" ht="25.2" customHeight="1">
      <c r="A557" s="108">
        <f>SUBTOTAL(103,$B$2:B557)*1</f>
        <v>416</v>
      </c>
      <c r="B557" s="109" t="s">
        <v>5</v>
      </c>
      <c r="C557" s="177" t="s">
        <v>956</v>
      </c>
      <c r="D557" s="108"/>
      <c r="E557" s="110" t="s">
        <v>8</v>
      </c>
      <c r="F557" s="108"/>
      <c r="G557" s="102">
        <v>4648</v>
      </c>
      <c r="H557" s="108" t="s">
        <v>127</v>
      </c>
      <c r="I557" s="104" t="s">
        <v>1728</v>
      </c>
      <c r="J557" s="111" t="s">
        <v>6</v>
      </c>
      <c r="K557" s="111"/>
      <c r="L557" s="112" t="s">
        <v>715</v>
      </c>
    </row>
    <row r="558" spans="1:12" ht="25.2" customHeight="1">
      <c r="A558" s="108">
        <f>SUBTOTAL(103,$B$2:B558)*1</f>
        <v>417</v>
      </c>
      <c r="B558" s="109" t="s">
        <v>5</v>
      </c>
      <c r="C558" s="177" t="s">
        <v>35</v>
      </c>
      <c r="D558" s="108"/>
      <c r="E558" s="110">
        <v>0.05</v>
      </c>
      <c r="F558" s="108"/>
      <c r="G558" s="102">
        <v>0.05</v>
      </c>
      <c r="H558" s="108" t="s">
        <v>127</v>
      </c>
      <c r="I558" s="104" t="str">
        <f>IF(G558="","",IF(G558=E558,"Pass","Fail"))</f>
        <v>Pass</v>
      </c>
      <c r="J558" s="111" t="s">
        <v>6</v>
      </c>
      <c r="K558" s="111"/>
      <c r="L558" s="112" t="s">
        <v>690</v>
      </c>
    </row>
    <row r="559" spans="1:12" ht="25.2" customHeight="1">
      <c r="A559" s="108">
        <f>SUBTOTAL(103,$B$2:B559)*1</f>
        <v>418</v>
      </c>
      <c r="B559" s="109" t="s">
        <v>5</v>
      </c>
      <c r="C559" s="177" t="s">
        <v>957</v>
      </c>
      <c r="D559" s="108"/>
      <c r="E559" s="110">
        <v>29000</v>
      </c>
      <c r="F559" s="108"/>
      <c r="G559" s="102">
        <v>29000</v>
      </c>
      <c r="H559" s="108" t="s">
        <v>127</v>
      </c>
      <c r="I559" s="104" t="str">
        <f>IF(G559="","",IF(G559=E559,"Pass","Fail"))</f>
        <v>Pass</v>
      </c>
      <c r="J559" s="111" t="s">
        <v>6</v>
      </c>
      <c r="K559" s="111"/>
      <c r="L559" s="112"/>
    </row>
    <row r="560" spans="1:12" ht="25.2" customHeight="1">
      <c r="A560" s="108">
        <f>SUBTOTAL(103,$B$2:B560)*1</f>
        <v>419</v>
      </c>
      <c r="B560" s="109" t="s">
        <v>5</v>
      </c>
      <c r="C560" s="177" t="s">
        <v>840</v>
      </c>
      <c r="D560" s="108"/>
      <c r="E560" s="110">
        <v>1</v>
      </c>
      <c r="F560" s="108"/>
      <c r="G560" s="102">
        <v>1</v>
      </c>
      <c r="H560" s="108" t="s">
        <v>34</v>
      </c>
      <c r="I560" s="104" t="str">
        <f>IF(G560="","",IF(G560=E560,"Pass","Fail"))</f>
        <v>Pass</v>
      </c>
      <c r="J560" s="111" t="s">
        <v>6</v>
      </c>
      <c r="K560" s="111"/>
      <c r="L560" s="112" t="s">
        <v>864</v>
      </c>
    </row>
    <row r="561" spans="1:12" ht="25.2" customHeight="1">
      <c r="A561" s="108">
        <f>SUBTOTAL(103,$B$2:B561)*1</f>
        <v>420</v>
      </c>
      <c r="B561" s="109" t="s">
        <v>5</v>
      </c>
      <c r="C561" s="177" t="s">
        <v>839</v>
      </c>
      <c r="D561" s="108"/>
      <c r="E561" s="110">
        <v>0.15</v>
      </c>
      <c r="F561" s="108"/>
      <c r="G561" s="102">
        <v>0.15</v>
      </c>
      <c r="H561" s="108" t="s">
        <v>34</v>
      </c>
      <c r="I561" s="104" t="str">
        <f>IF(G561="","",IF(G561=E561,"Pass","Fail"))</f>
        <v>Pass</v>
      </c>
      <c r="J561" s="111" t="s">
        <v>6</v>
      </c>
      <c r="K561" s="111"/>
      <c r="L561" s="112" t="s">
        <v>864</v>
      </c>
    </row>
    <row r="562" spans="1:12" ht="25.2" customHeight="1">
      <c r="A562" s="108">
        <f>SUBTOTAL(103,$B$2:B562)*1</f>
        <v>421</v>
      </c>
      <c r="B562" s="109" t="s">
        <v>5</v>
      </c>
      <c r="C562" s="177" t="s">
        <v>12</v>
      </c>
      <c r="D562" s="108">
        <v>12000</v>
      </c>
      <c r="E562" s="110"/>
      <c r="F562" s="108">
        <v>15000</v>
      </c>
      <c r="G562" s="102">
        <v>15000</v>
      </c>
      <c r="H562" s="108" t="s">
        <v>127</v>
      </c>
      <c r="I562" s="104" t="str">
        <f>IF(G562="","",IF(AND(G562&gt;=D562,G562&lt;=F562),"Pass","Fail"))</f>
        <v>Pass</v>
      </c>
      <c r="J562" s="111" t="s">
        <v>6</v>
      </c>
      <c r="K562" s="111"/>
      <c r="L562" s="112"/>
    </row>
    <row r="563" spans="1:12" ht="25.2" customHeight="1">
      <c r="A563" s="108">
        <f>SUBTOTAL(103,$B$2:B563)*1</f>
        <v>422</v>
      </c>
      <c r="B563" s="109" t="s">
        <v>5</v>
      </c>
      <c r="C563" s="177" t="s">
        <v>1342</v>
      </c>
      <c r="D563" s="108"/>
      <c r="E563" s="110" t="s">
        <v>1456</v>
      </c>
      <c r="F563" s="108"/>
      <c r="G563" s="102" t="s">
        <v>1726</v>
      </c>
      <c r="H563" s="108" t="s">
        <v>34</v>
      </c>
      <c r="I563" s="104" t="str">
        <f t="shared" ref="I563" si="41">IF(G563="","",IF(G563=E563,"Pass","Fail"))</f>
        <v>Pass</v>
      </c>
      <c r="J563" s="111" t="s">
        <v>6</v>
      </c>
      <c r="K563" s="111"/>
      <c r="L563" s="112" t="s">
        <v>1455</v>
      </c>
    </row>
    <row r="564" spans="1:12" ht="25.2" customHeight="1">
      <c r="A564" s="108">
        <f>SUBTOTAL(103,$B$2:B564)*1</f>
        <v>423</v>
      </c>
      <c r="B564" s="109" t="s">
        <v>5</v>
      </c>
      <c r="C564" s="177" t="s">
        <v>928</v>
      </c>
      <c r="D564" s="108"/>
      <c r="E564" s="110"/>
      <c r="F564" s="108">
        <v>20</v>
      </c>
      <c r="G564" s="120">
        <v>14.379</v>
      </c>
      <c r="H564" s="108" t="s">
        <v>125</v>
      </c>
      <c r="I564" s="104" t="str">
        <f>IF(G564="","",IF(AND(G564&lt;=F564),"Pass","Fail"))</f>
        <v>Pass</v>
      </c>
      <c r="J564" s="111" t="s">
        <v>13</v>
      </c>
      <c r="K564" s="121" t="s">
        <v>993</v>
      </c>
      <c r="L564" s="112" t="s">
        <v>1432</v>
      </c>
    </row>
    <row r="565" spans="1:12" ht="25.2" customHeight="1">
      <c r="A565" s="132">
        <f>SUBTOTAL(103,$B$2:B565)*1</f>
        <v>424</v>
      </c>
      <c r="B565" s="127" t="s">
        <v>13</v>
      </c>
      <c r="C565" s="162" t="s">
        <v>810</v>
      </c>
      <c r="D565" s="219"/>
      <c r="E565" s="110" t="s">
        <v>34</v>
      </c>
      <c r="F565" s="216"/>
      <c r="G565" s="182" t="s">
        <v>1744</v>
      </c>
      <c r="H565" s="132" t="s">
        <v>125</v>
      </c>
      <c r="I565" s="149" t="s">
        <v>1665</v>
      </c>
      <c r="J565" s="111" t="s">
        <v>13</v>
      </c>
      <c r="K565" s="121"/>
      <c r="L565" s="124" t="s">
        <v>804</v>
      </c>
    </row>
    <row r="566" spans="1:12" s="113" customFormat="1" ht="42.6" customHeight="1">
      <c r="A566" s="132">
        <f>SUBTOTAL(103,$B$2:B566)*1</f>
        <v>425</v>
      </c>
      <c r="B566" s="127" t="s">
        <v>13</v>
      </c>
      <c r="C566" s="162" t="s">
        <v>1745</v>
      </c>
      <c r="D566" s="219"/>
      <c r="E566" s="110"/>
      <c r="F566" s="216">
        <v>1</v>
      </c>
      <c r="G566" s="182">
        <v>0.33</v>
      </c>
      <c r="H566" s="132" t="s">
        <v>125</v>
      </c>
      <c r="I566" s="149" t="str">
        <f t="shared" ref="I566:I576" si="42">IF(G566="","",IF(AND(G566&lt;=F566),"Pass","Fail"))</f>
        <v>Pass</v>
      </c>
      <c r="J566" s="111" t="s">
        <v>13</v>
      </c>
      <c r="K566" s="121" t="s">
        <v>993</v>
      </c>
      <c r="L566" s="124" t="s">
        <v>988</v>
      </c>
    </row>
    <row r="567" spans="1:12" s="113" customFormat="1" ht="42.6" customHeight="1">
      <c r="A567" s="132">
        <f>SUBTOTAL(103,$B$2:B567)*1</f>
        <v>426</v>
      </c>
      <c r="B567" s="127" t="s">
        <v>13</v>
      </c>
      <c r="C567" s="162" t="s">
        <v>1746</v>
      </c>
      <c r="D567" s="219"/>
      <c r="E567" s="110"/>
      <c r="F567" s="132">
        <v>0.5</v>
      </c>
      <c r="G567" s="182">
        <v>0.06</v>
      </c>
      <c r="H567" s="132" t="s">
        <v>137</v>
      </c>
      <c r="I567" s="149" t="str">
        <f t="shared" si="42"/>
        <v>Pass</v>
      </c>
      <c r="J567" s="111" t="s">
        <v>13</v>
      </c>
      <c r="K567" s="121" t="s">
        <v>993</v>
      </c>
      <c r="L567" s="124" t="s">
        <v>988</v>
      </c>
    </row>
    <row r="568" spans="1:12" s="113" customFormat="1" ht="42.6" customHeight="1">
      <c r="A568" s="132">
        <f>SUBTOTAL(103,$B$2:B568)*1</f>
        <v>427</v>
      </c>
      <c r="B568" s="127" t="s">
        <v>13</v>
      </c>
      <c r="C568" s="162" t="s">
        <v>1747</v>
      </c>
      <c r="D568" s="219"/>
      <c r="E568" s="110"/>
      <c r="F568" s="216">
        <v>1</v>
      </c>
      <c r="G568" s="182">
        <v>0.42</v>
      </c>
      <c r="H568" s="132" t="s">
        <v>125</v>
      </c>
      <c r="I568" s="149" t="str">
        <f t="shared" si="42"/>
        <v>Pass</v>
      </c>
      <c r="J568" s="111" t="s">
        <v>13</v>
      </c>
      <c r="K568" s="121" t="s">
        <v>993</v>
      </c>
      <c r="L568" s="124" t="s">
        <v>523</v>
      </c>
    </row>
    <row r="569" spans="1:12" s="113" customFormat="1" ht="42.6" customHeight="1">
      <c r="A569" s="132">
        <f>SUBTOTAL(103,$B$2:B569)*1</f>
        <v>428</v>
      </c>
      <c r="B569" s="127" t="s">
        <v>13</v>
      </c>
      <c r="C569" s="162" t="s">
        <v>1748</v>
      </c>
      <c r="D569" s="219"/>
      <c r="E569" s="110"/>
      <c r="F569" s="132">
        <v>0.5</v>
      </c>
      <c r="G569" s="182">
        <v>0.08</v>
      </c>
      <c r="H569" s="132" t="s">
        <v>137</v>
      </c>
      <c r="I569" s="149" t="str">
        <f t="shared" si="42"/>
        <v>Pass</v>
      </c>
      <c r="J569" s="111" t="s">
        <v>13</v>
      </c>
      <c r="K569" s="121" t="s">
        <v>993</v>
      </c>
      <c r="L569" s="124" t="s">
        <v>523</v>
      </c>
    </row>
    <row r="570" spans="1:12" s="113" customFormat="1" ht="42.6" customHeight="1">
      <c r="A570" s="132">
        <f>SUBTOTAL(103,$B$2:B570)*1</f>
        <v>429</v>
      </c>
      <c r="B570" s="127" t="s">
        <v>13</v>
      </c>
      <c r="C570" s="162" t="s">
        <v>1749</v>
      </c>
      <c r="D570" s="219"/>
      <c r="E570" s="110"/>
      <c r="F570" s="216">
        <v>1</v>
      </c>
      <c r="G570" s="217">
        <v>0.63</v>
      </c>
      <c r="H570" s="132" t="s">
        <v>125</v>
      </c>
      <c r="I570" s="149" t="str">
        <f t="shared" si="42"/>
        <v>Pass</v>
      </c>
      <c r="J570" s="111" t="s">
        <v>13</v>
      </c>
      <c r="K570" s="121" t="s">
        <v>993</v>
      </c>
      <c r="L570" s="124" t="s">
        <v>523</v>
      </c>
    </row>
    <row r="571" spans="1:12" s="113" customFormat="1" ht="42.6" customHeight="1">
      <c r="A571" s="132">
        <f>SUBTOTAL(103,$B$2:B571)*1</f>
        <v>430</v>
      </c>
      <c r="B571" s="127" t="s">
        <v>13</v>
      </c>
      <c r="C571" s="162" t="s">
        <v>1750</v>
      </c>
      <c r="D571" s="219"/>
      <c r="E571" s="110"/>
      <c r="F571" s="132">
        <v>0.5</v>
      </c>
      <c r="G571" s="182">
        <v>0.12</v>
      </c>
      <c r="H571" s="132" t="s">
        <v>137</v>
      </c>
      <c r="I571" s="149" t="str">
        <f t="shared" si="42"/>
        <v>Pass</v>
      </c>
      <c r="J571" s="111" t="s">
        <v>13</v>
      </c>
      <c r="K571" s="121" t="s">
        <v>993</v>
      </c>
      <c r="L571" s="124" t="s">
        <v>523</v>
      </c>
    </row>
    <row r="572" spans="1:12" s="113" customFormat="1" ht="42.6" customHeight="1">
      <c r="A572" s="132">
        <f>SUBTOTAL(103,$B$2:B572)*1</f>
        <v>431</v>
      </c>
      <c r="B572" s="127" t="s">
        <v>13</v>
      </c>
      <c r="C572" s="162" t="s">
        <v>1751</v>
      </c>
      <c r="D572" s="219"/>
      <c r="E572" s="110"/>
      <c r="F572" s="216">
        <v>1</v>
      </c>
      <c r="G572" s="182">
        <v>0.28000000000000003</v>
      </c>
      <c r="H572" s="132" t="s">
        <v>125</v>
      </c>
      <c r="I572" s="149" t="str">
        <f t="shared" si="42"/>
        <v>Pass</v>
      </c>
      <c r="J572" s="111" t="s">
        <v>13</v>
      </c>
      <c r="K572" s="121" t="s">
        <v>993</v>
      </c>
      <c r="L572" s="124" t="s">
        <v>523</v>
      </c>
    </row>
    <row r="573" spans="1:12" s="113" customFormat="1" ht="42.6" customHeight="1">
      <c r="A573" s="132">
        <f>SUBTOTAL(103,$B$2:B573)*1</f>
        <v>432</v>
      </c>
      <c r="B573" s="127" t="s">
        <v>13</v>
      </c>
      <c r="C573" s="162" t="s">
        <v>1752</v>
      </c>
      <c r="D573" s="219"/>
      <c r="E573" s="110"/>
      <c r="F573" s="132">
        <v>0.5</v>
      </c>
      <c r="G573" s="182">
        <v>0.05</v>
      </c>
      <c r="H573" s="132" t="s">
        <v>137</v>
      </c>
      <c r="I573" s="149" t="str">
        <f t="shared" si="42"/>
        <v>Pass</v>
      </c>
      <c r="J573" s="111" t="s">
        <v>13</v>
      </c>
      <c r="K573" s="121" t="s">
        <v>993</v>
      </c>
      <c r="L573" s="124" t="s">
        <v>523</v>
      </c>
    </row>
    <row r="574" spans="1:12" s="113" customFormat="1" ht="25.2" customHeight="1">
      <c r="A574" s="132">
        <f>SUBTOTAL(103,$B$2:B574)*1</f>
        <v>433</v>
      </c>
      <c r="B574" s="127" t="s">
        <v>13</v>
      </c>
      <c r="C574" s="162" t="s">
        <v>987</v>
      </c>
      <c r="D574" s="219"/>
      <c r="E574" s="110" t="s">
        <v>34</v>
      </c>
      <c r="F574" s="132"/>
      <c r="G574" s="182">
        <v>1723.1959999999999</v>
      </c>
      <c r="H574" s="132" t="s">
        <v>945</v>
      </c>
      <c r="I574" s="149" t="s">
        <v>1754</v>
      </c>
      <c r="J574" s="111" t="s">
        <v>13</v>
      </c>
      <c r="K574" s="121" t="s">
        <v>993</v>
      </c>
      <c r="L574" s="124" t="s">
        <v>983</v>
      </c>
    </row>
    <row r="575" spans="1:12" s="113" customFormat="1" ht="25.2" customHeight="1">
      <c r="A575" s="132">
        <f>SUBTOTAL(103,$B$2:B575)*1</f>
        <v>434</v>
      </c>
      <c r="B575" s="127" t="s">
        <v>13</v>
      </c>
      <c r="C575" s="162" t="s">
        <v>847</v>
      </c>
      <c r="D575" s="219"/>
      <c r="E575" s="110" t="s">
        <v>34</v>
      </c>
      <c r="F575" s="216"/>
      <c r="G575" s="182" t="s">
        <v>1753</v>
      </c>
      <c r="H575" s="132" t="s">
        <v>125</v>
      </c>
      <c r="I575" s="149" t="s">
        <v>1665</v>
      </c>
      <c r="J575" s="111" t="s">
        <v>13</v>
      </c>
      <c r="K575" s="121"/>
      <c r="L575" s="124" t="s">
        <v>1649</v>
      </c>
    </row>
    <row r="576" spans="1:12" s="113" customFormat="1">
      <c r="A576" s="132">
        <f>SUBTOTAL(103,$B$2:B576)*1</f>
        <v>435</v>
      </c>
      <c r="B576" s="127" t="s">
        <v>13</v>
      </c>
      <c r="C576" s="162" t="s">
        <v>1650</v>
      </c>
      <c r="D576" s="219"/>
      <c r="E576" s="110"/>
      <c r="F576" s="132">
        <v>1</v>
      </c>
      <c r="G576" s="215">
        <v>0.44724000000000003</v>
      </c>
      <c r="H576" s="132" t="s">
        <v>125</v>
      </c>
      <c r="I576" s="149" t="str">
        <f t="shared" si="42"/>
        <v>Pass</v>
      </c>
      <c r="J576" s="111" t="s">
        <v>13</v>
      </c>
      <c r="K576" s="121" t="s">
        <v>993</v>
      </c>
      <c r="L576" s="112" t="s">
        <v>1655</v>
      </c>
    </row>
    <row r="577" spans="1:12" s="113" customFormat="1" ht="25.2" customHeight="1">
      <c r="A577" s="132">
        <f>SUBTOTAL(103,$B$2:B577)*1</f>
        <v>436</v>
      </c>
      <c r="B577" s="127" t="s">
        <v>13</v>
      </c>
      <c r="C577" s="162" t="s">
        <v>1452</v>
      </c>
      <c r="D577" s="219"/>
      <c r="E577" s="110" t="s">
        <v>1446</v>
      </c>
      <c r="F577" s="132"/>
      <c r="G577" s="217" t="s">
        <v>1446</v>
      </c>
      <c r="H577" s="132" t="s">
        <v>1446</v>
      </c>
      <c r="I577" s="149" t="str">
        <f>IF(AND(G578="",G579=""),"",IF(OR(G578&lt;=F578,G579&lt;=F579),"Pass","Fail"))</f>
        <v>Pass</v>
      </c>
      <c r="J577" s="111"/>
      <c r="K577" s="121"/>
      <c r="L577" s="112"/>
    </row>
    <row r="578" spans="1:12" s="113" customFormat="1" ht="25.2" customHeight="1">
      <c r="A578" s="132">
        <f>SUBTOTAL(103,$B$2:B578)*1</f>
        <v>437</v>
      </c>
      <c r="B578" s="127" t="s">
        <v>13</v>
      </c>
      <c r="C578" s="227" t="s">
        <v>1443</v>
      </c>
      <c r="D578" s="219"/>
      <c r="E578" s="110"/>
      <c r="F578" s="132">
        <v>5</v>
      </c>
      <c r="G578" s="215">
        <v>0.79800000000000004</v>
      </c>
      <c r="H578" s="132" t="s">
        <v>137</v>
      </c>
      <c r="I578" s="149" t="s">
        <v>1665</v>
      </c>
      <c r="J578" s="111" t="s">
        <v>13</v>
      </c>
      <c r="K578" s="121" t="s">
        <v>993</v>
      </c>
      <c r="L578" s="112" t="s">
        <v>1451</v>
      </c>
    </row>
    <row r="579" spans="1:12" s="113" customFormat="1" ht="25.2" customHeight="1">
      <c r="A579" s="132">
        <f>SUBTOTAL(103,$B$2:B579)*1</f>
        <v>438</v>
      </c>
      <c r="B579" s="127" t="s">
        <v>13</v>
      </c>
      <c r="C579" s="227" t="s">
        <v>1444</v>
      </c>
      <c r="D579" s="219"/>
      <c r="E579" s="110"/>
      <c r="F579" s="132">
        <v>0.01</v>
      </c>
      <c r="G579" s="228">
        <v>1E-3</v>
      </c>
      <c r="H579" s="132" t="s">
        <v>1445</v>
      </c>
      <c r="I579" s="149" t="s">
        <v>1665</v>
      </c>
      <c r="J579" s="111" t="s">
        <v>13</v>
      </c>
      <c r="K579" s="121" t="s">
        <v>993</v>
      </c>
      <c r="L579" s="112" t="s">
        <v>1451</v>
      </c>
    </row>
    <row r="580" spans="1:12" s="113" customFormat="1" ht="25.2" customHeight="1">
      <c r="A580" s="132">
        <f>SUBTOTAL(103,$B$2:B580)*1</f>
        <v>439</v>
      </c>
      <c r="B580" s="127" t="s">
        <v>13</v>
      </c>
      <c r="C580" s="162" t="s">
        <v>1454</v>
      </c>
      <c r="D580" s="219"/>
      <c r="E580" s="110" t="s">
        <v>34</v>
      </c>
      <c r="F580" s="132"/>
      <c r="G580" s="217" t="s">
        <v>1446</v>
      </c>
      <c r="H580" s="132" t="s">
        <v>34</v>
      </c>
      <c r="I580" s="149" t="str">
        <f>IF(AND(G581="",G582=""),"",IF(OR(G581&lt;=F581,G582&lt;=F582),"Pass","Fail"))</f>
        <v>Pass</v>
      </c>
      <c r="J580" s="111"/>
      <c r="K580" s="121"/>
    </row>
    <row r="581" spans="1:12" s="113" customFormat="1" ht="25.2" customHeight="1">
      <c r="A581" s="132">
        <f>SUBTOTAL(103,$B$2:B581)*1</f>
        <v>440</v>
      </c>
      <c r="B581" s="127" t="s">
        <v>13</v>
      </c>
      <c r="C581" s="227" t="s">
        <v>1447</v>
      </c>
      <c r="D581" s="219"/>
      <c r="E581" s="110"/>
      <c r="F581" s="216">
        <v>5</v>
      </c>
      <c r="G581" s="217">
        <v>1.254</v>
      </c>
      <c r="H581" s="132" t="s">
        <v>137</v>
      </c>
      <c r="I581" s="149" t="s">
        <v>1665</v>
      </c>
      <c r="J581" s="111" t="s">
        <v>13</v>
      </c>
      <c r="K581" s="121" t="s">
        <v>993</v>
      </c>
      <c r="L581" s="112" t="s">
        <v>1451</v>
      </c>
    </row>
    <row r="582" spans="1:12" s="113" customFormat="1" ht="25.2" customHeight="1">
      <c r="A582" s="132">
        <f>SUBTOTAL(103,$B$2:B582)*1</f>
        <v>441</v>
      </c>
      <c r="B582" s="127" t="s">
        <v>13</v>
      </c>
      <c r="C582" s="227" t="s">
        <v>1448</v>
      </c>
      <c r="D582" s="219"/>
      <c r="E582" s="110"/>
      <c r="F582" s="132">
        <v>0.01</v>
      </c>
      <c r="G582" s="228">
        <v>2E-3</v>
      </c>
      <c r="H582" s="132" t="s">
        <v>1445</v>
      </c>
      <c r="I582" s="149" t="s">
        <v>1665</v>
      </c>
      <c r="J582" s="111" t="s">
        <v>13</v>
      </c>
      <c r="K582" s="121" t="s">
        <v>993</v>
      </c>
      <c r="L582" s="112" t="s">
        <v>1451</v>
      </c>
    </row>
    <row r="583" spans="1:12" s="113" customFormat="1" ht="25.2" hidden="1" customHeight="1">
      <c r="A583" s="108">
        <f>SUBTOTAL(103,$B$2:B583)*1</f>
        <v>441</v>
      </c>
      <c r="B583" s="109" t="s">
        <v>807</v>
      </c>
      <c r="C583" s="177" t="s">
        <v>316</v>
      </c>
      <c r="D583" s="108">
        <v>15</v>
      </c>
      <c r="E583" s="110"/>
      <c r="F583" s="108"/>
      <c r="G583" s="130"/>
      <c r="H583" s="108" t="s">
        <v>127</v>
      </c>
      <c r="I583" s="104" t="str">
        <f>IF(G583="","",IF(G583&gt;=D583,"Pass","Fail"))</f>
        <v/>
      </c>
      <c r="J583" s="111" t="s">
        <v>13</v>
      </c>
      <c r="K583" s="111"/>
      <c r="L583" s="112" t="s">
        <v>317</v>
      </c>
    </row>
    <row r="584" spans="1:12" s="113" customFormat="1" ht="25.2" hidden="1" customHeight="1">
      <c r="A584" s="108">
        <f>SUBTOTAL(103,$B$2:B584)*1</f>
        <v>441</v>
      </c>
      <c r="B584" s="109" t="s">
        <v>807</v>
      </c>
      <c r="C584" s="177" t="s">
        <v>349</v>
      </c>
      <c r="D584" s="108">
        <v>25000</v>
      </c>
      <c r="E584" s="110"/>
      <c r="F584" s="108"/>
      <c r="G584" s="182"/>
      <c r="H584" s="108" t="s">
        <v>318</v>
      </c>
      <c r="I584" s="104" t="str">
        <f>IF(G584="","",IF(G584&gt;=D584,"Pass","Fail"))</f>
        <v/>
      </c>
      <c r="J584" s="111" t="s">
        <v>13</v>
      </c>
      <c r="K584" s="111"/>
      <c r="L584" s="112" t="s">
        <v>317</v>
      </c>
    </row>
    <row r="585" spans="1:12" s="113" customFormat="1" ht="25.2" hidden="1" customHeight="1">
      <c r="A585" s="108">
        <f>SUBTOTAL(103,$B$2:B585)*1</f>
        <v>441</v>
      </c>
      <c r="B585" s="109" t="s">
        <v>807</v>
      </c>
      <c r="C585" s="191" t="s">
        <v>352</v>
      </c>
      <c r="D585" s="108">
        <v>0.5</v>
      </c>
      <c r="E585" s="110"/>
      <c r="F585" s="108"/>
      <c r="G585" s="102"/>
      <c r="H585" s="108" t="s">
        <v>319</v>
      </c>
      <c r="I585" s="104" t="str">
        <f>IF(G585="","",IF(G585&gt;=D585,"Pass","Fail"))</f>
        <v/>
      </c>
      <c r="J585" s="111" t="s">
        <v>13</v>
      </c>
      <c r="K585" s="111"/>
      <c r="L585" s="112" t="s">
        <v>317</v>
      </c>
    </row>
    <row r="586" spans="1:12" s="113" customFormat="1" ht="25.2" hidden="1" customHeight="1">
      <c r="A586" s="108">
        <f>SUBTOTAL(103,$B$2:B586)*1</f>
        <v>441</v>
      </c>
      <c r="B586" s="109" t="s">
        <v>807</v>
      </c>
      <c r="C586" s="191" t="s">
        <v>351</v>
      </c>
      <c r="D586" s="108">
        <v>6</v>
      </c>
      <c r="E586" s="110"/>
      <c r="F586" s="108"/>
      <c r="G586" s="102"/>
      <c r="H586" s="108" t="s">
        <v>141</v>
      </c>
      <c r="I586" s="104" t="str">
        <f>IF(G586="","",IF(G586&gt;=D586,"Pass","Fail"))</f>
        <v/>
      </c>
      <c r="J586" s="111" t="s">
        <v>13</v>
      </c>
      <c r="K586" s="111"/>
      <c r="L586" s="112" t="s">
        <v>317</v>
      </c>
    </row>
    <row r="587" spans="1:12" s="113" customFormat="1" ht="25.2" hidden="1" customHeight="1">
      <c r="A587" s="108">
        <f>SUBTOTAL(103,$B$2:B587)*1</f>
        <v>441</v>
      </c>
      <c r="B587" s="109" t="s">
        <v>807</v>
      </c>
      <c r="C587" s="177" t="s">
        <v>350</v>
      </c>
      <c r="D587" s="108">
        <v>3</v>
      </c>
      <c r="E587" s="110"/>
      <c r="F587" s="108"/>
      <c r="G587" s="102"/>
      <c r="H587" s="108" t="s">
        <v>320</v>
      </c>
      <c r="I587" s="104" t="str">
        <f>IF(G587="","",IF(G587&gt;=D587,"Pass","Fail"))</f>
        <v/>
      </c>
      <c r="J587" s="111" t="s">
        <v>13</v>
      </c>
      <c r="K587" s="111"/>
      <c r="L587" s="112" t="s">
        <v>317</v>
      </c>
    </row>
    <row r="588" spans="1:12" s="113" customFormat="1" ht="25.2" hidden="1" customHeight="1">
      <c r="A588" s="108">
        <f>SUBTOTAL(103,$B$2:B588)*1</f>
        <v>441</v>
      </c>
      <c r="B588" s="109" t="s">
        <v>807</v>
      </c>
      <c r="C588" s="177" t="s">
        <v>321</v>
      </c>
      <c r="D588" s="108"/>
      <c r="E588" s="110"/>
      <c r="F588" s="173">
        <v>0.1</v>
      </c>
      <c r="G588" s="126"/>
      <c r="H588" s="108" t="s">
        <v>125</v>
      </c>
      <c r="I588" s="104" t="str">
        <f t="shared" ref="I588:I593" si="43">IF(G588="","",IF(AND(G588&lt;=F588),"Pass","Fail"))</f>
        <v/>
      </c>
      <c r="J588" s="111" t="s">
        <v>13</v>
      </c>
      <c r="K588" s="111"/>
      <c r="L588" s="112" t="s">
        <v>317</v>
      </c>
    </row>
    <row r="589" spans="1:12" s="113" customFormat="1" ht="25.2" hidden="1" customHeight="1">
      <c r="A589" s="108">
        <f>SUBTOTAL(103,$B$2:B589)*1</f>
        <v>441</v>
      </c>
      <c r="B589" s="109" t="s">
        <v>807</v>
      </c>
      <c r="C589" s="177" t="s">
        <v>346</v>
      </c>
      <c r="D589" s="108"/>
      <c r="E589" s="110"/>
      <c r="F589" s="173">
        <v>0.6</v>
      </c>
      <c r="G589" s="126"/>
      <c r="H589" s="108" t="s">
        <v>137</v>
      </c>
      <c r="I589" s="104" t="str">
        <f t="shared" si="43"/>
        <v/>
      </c>
      <c r="J589" s="111" t="s">
        <v>13</v>
      </c>
      <c r="K589" s="111"/>
      <c r="L589" s="112" t="s">
        <v>524</v>
      </c>
    </row>
    <row r="590" spans="1:12" s="113" customFormat="1" ht="25.2" hidden="1" customHeight="1">
      <c r="A590" s="108">
        <f>SUBTOTAL(103,$B$2:B590)*1</f>
        <v>441</v>
      </c>
      <c r="B590" s="109" t="s">
        <v>807</v>
      </c>
      <c r="C590" s="177" t="s">
        <v>324</v>
      </c>
      <c r="D590" s="108"/>
      <c r="E590" s="114"/>
      <c r="F590" s="173">
        <v>1</v>
      </c>
      <c r="G590" s="126"/>
      <c r="H590" s="108" t="s">
        <v>137</v>
      </c>
      <c r="I590" s="104" t="str">
        <f t="shared" si="43"/>
        <v/>
      </c>
      <c r="J590" s="111" t="s">
        <v>13</v>
      </c>
      <c r="K590" s="111"/>
      <c r="L590" s="112" t="s">
        <v>524</v>
      </c>
    </row>
    <row r="591" spans="1:12" s="113" customFormat="1" ht="25.2" hidden="1" customHeight="1">
      <c r="A591" s="108">
        <f>SUBTOTAL(103,$B$2:B591)*1</f>
        <v>441</v>
      </c>
      <c r="B591" s="109" t="s">
        <v>807</v>
      </c>
      <c r="C591" s="177" t="s">
        <v>322</v>
      </c>
      <c r="D591" s="108"/>
      <c r="E591" s="110"/>
      <c r="F591" s="108">
        <v>0.6</v>
      </c>
      <c r="G591" s="126"/>
      <c r="H591" s="108" t="s">
        <v>137</v>
      </c>
      <c r="I591" s="104" t="str">
        <f t="shared" si="43"/>
        <v/>
      </c>
      <c r="J591" s="111" t="s">
        <v>13</v>
      </c>
      <c r="K591" s="111"/>
      <c r="L591" s="112" t="s">
        <v>524</v>
      </c>
    </row>
    <row r="592" spans="1:12" s="113" customFormat="1" ht="25.2" hidden="1" customHeight="1">
      <c r="A592" s="108">
        <f>SUBTOTAL(103,$B$2:B592)*1</f>
        <v>441</v>
      </c>
      <c r="B592" s="109" t="s">
        <v>807</v>
      </c>
      <c r="C592" s="177" t="s">
        <v>323</v>
      </c>
      <c r="D592" s="108"/>
      <c r="E592" s="110"/>
      <c r="F592" s="108">
        <v>1</v>
      </c>
      <c r="G592" s="126"/>
      <c r="H592" s="108" t="s">
        <v>137</v>
      </c>
      <c r="I592" s="104" t="str">
        <f t="shared" si="43"/>
        <v/>
      </c>
      <c r="J592" s="111" t="s">
        <v>13</v>
      </c>
      <c r="K592" s="111"/>
      <c r="L592" s="112" t="s">
        <v>524</v>
      </c>
    </row>
    <row r="593" spans="1:13" s="113" customFormat="1" ht="25.2" hidden="1" customHeight="1">
      <c r="A593" s="108">
        <f>SUBTOTAL(103,$B$2:B593)*1</f>
        <v>441</v>
      </c>
      <c r="B593" s="109" t="s">
        <v>807</v>
      </c>
      <c r="C593" s="177" t="s">
        <v>326</v>
      </c>
      <c r="D593" s="108"/>
      <c r="E593" s="110"/>
      <c r="F593" s="108">
        <v>8</v>
      </c>
      <c r="G593" s="126"/>
      <c r="H593" s="108" t="s">
        <v>127</v>
      </c>
      <c r="I593" s="104" t="str">
        <f t="shared" si="43"/>
        <v/>
      </c>
      <c r="J593" s="111" t="s">
        <v>13</v>
      </c>
      <c r="K593" s="111"/>
      <c r="L593" s="112" t="s">
        <v>325</v>
      </c>
      <c r="M593" s="113" t="s">
        <v>201</v>
      </c>
    </row>
    <row r="594" spans="1:13">
      <c r="F594" s="185"/>
      <c r="G594" s="186"/>
    </row>
  </sheetData>
  <autoFilter ref="B1:L593" xr:uid="{00000000-0009-0000-0000-000001000000}">
    <filterColumn colId="0">
      <filters>
        <filter val="Acoustic Enclosure"/>
        <filter val="Acoustic Enclosure(Isolated AE)"/>
        <filter val="AFM Controller"/>
        <filter val="AFM Head"/>
        <filter val="AFM Head(Auto Align)"/>
        <filter val="AFM Head(NX-Wafer300mm)"/>
        <filter val="AFM Head(Standard)"/>
        <filter val="ATX"/>
        <filter val="ATX(Auto Align Head)"/>
        <filter val="Computer"/>
        <filter val="Computer(HP)"/>
        <filter val="EFEM"/>
        <filter val="EFEM(Dual Load port)"/>
        <filter val="EFEM(FFU Open type)"/>
        <filter val="EFEM(RFID)"/>
        <filter val="EFEM(TDK loadport)"/>
        <filter val="EFEM(Yaskawa aligner)"/>
        <filter val="EFEM(Yaskawa)"/>
        <filter val="Facility Controller"/>
        <filter val="Facility Controller(PB)"/>
        <filter val="Focus Stage"/>
        <filter val="Lift Pin"/>
        <filter val="Main Body"/>
        <filter val="Misc"/>
        <filter val="Misc(PB)"/>
        <filter val="Misc(VLSI)"/>
        <filter val="Performance"/>
        <filter val="Sample Chuck"/>
        <filter val="Sample Chuck(Sample holder)"/>
        <filter val="Sample Chuck(w/ SiC Anti-warpage)"/>
        <filter val="Sample Chuck(w/ Sliding stage)"/>
        <filter val="SlidingStage"/>
        <filter val="SlidingStage(25mm,50mm)"/>
        <filter val="SlidingStage(Isolated AE)"/>
        <filter val="Smoke Detector"/>
        <filter val="SW"/>
        <filter val="System Noise"/>
        <filter val="System Noise(NX-Wafer 300mm, W/ Sliding Stage)"/>
        <filter val="Tip Characterizer Sample"/>
        <filter val="Vision"/>
        <filter val="XY Scanner"/>
        <filter val="XY Scanner(NX-Wafer 300mm)"/>
        <filter val="XY Scanner(w/ SiC Anti-warpage chuck)"/>
        <filter val="XY Stage"/>
        <filter val="XY Stage(400mmx300mm)"/>
        <filter val="XY Stage(NX-Wafer 300mm)"/>
        <filter val="Z Stage"/>
      </filters>
    </filterColumn>
    <sortState xmlns:xlrd2="http://schemas.microsoft.com/office/spreadsheetml/2017/richdata2" ref="B2:L593">
      <sortCondition ref="B1:B564"/>
    </sortState>
  </autoFilter>
  <mergeCells count="1">
    <mergeCell ref="L213:L215"/>
  </mergeCells>
  <phoneticPr fontId="2" type="noConversion"/>
  <conditionalFormatting sqref="D81:D95 D108:D109">
    <cfRule type="containsText" dxfId="25" priority="16" operator="containsText" text="선택">
      <formula>NOT(ISERROR(SEARCH("선택",D81)))</formula>
    </cfRule>
  </conditionalFormatting>
  <conditionalFormatting sqref="D117:D118">
    <cfRule type="containsText" dxfId="24" priority="20" operator="containsText" text="선택">
      <formula>NOT(ISERROR(SEARCH("선택",D117)))</formula>
    </cfRule>
  </conditionalFormatting>
  <conditionalFormatting sqref="E1:E95 E108:E406 E413:E1048576">
    <cfRule type="containsText" dxfId="23" priority="19" operator="containsText" text="(선택)">
      <formula>NOT(ISERROR(SEARCH("(선택)",E1)))</formula>
    </cfRule>
  </conditionalFormatting>
  <conditionalFormatting sqref="E407">
    <cfRule type="containsText" dxfId="22" priority="45" operator="containsText" text="(선택)">
      <formula>NOT(ISERROR(SEARCH("(선택)",E407)))</formula>
    </cfRule>
  </conditionalFormatting>
  <conditionalFormatting sqref="E408:E411">
    <cfRule type="containsText" dxfId="21" priority="46" operator="containsText" text="(선택)">
      <formula>NOT(ISERROR(SEARCH("(선택)",E408)))</formula>
    </cfRule>
  </conditionalFormatting>
  <conditionalFormatting sqref="E412">
    <cfRule type="containsText" dxfId="20" priority="41" operator="containsText" text="(선택)">
      <formula>NOT(ISERROR(SEARCH("(선택)",E412)))</formula>
    </cfRule>
  </conditionalFormatting>
  <conditionalFormatting sqref="G1:G46 G118:G1048576">
    <cfRule type="containsText" dxfId="19" priority="67" operator="containsText" text="(선택)">
      <formula>NOT(ISERROR(SEARCH("(선택)",G1)))</formula>
    </cfRule>
  </conditionalFormatting>
  <conditionalFormatting sqref="G2:G80 G118:G593">
    <cfRule type="containsBlanks" dxfId="18" priority="22">
      <formula>LEN(TRIM(G2))=0</formula>
    </cfRule>
  </conditionalFormatting>
  <conditionalFormatting sqref="G47">
    <cfRule type="containsText" dxfId="17" priority="103" operator="containsText" text="(선택)">
      <formula>NOT(ISERROR(SEARCH("(선택)",G47)))</formula>
    </cfRule>
  </conditionalFormatting>
  <conditionalFormatting sqref="G48:G80">
    <cfRule type="containsText" dxfId="16" priority="25" operator="containsText" text="(선택)">
      <formula>NOT(ISERROR(SEARCH("(선택)",G48)))</formula>
    </cfRule>
  </conditionalFormatting>
  <conditionalFormatting sqref="G81:G117">
    <cfRule type="expression" dxfId="15" priority="17">
      <formula>LEN(TRIM(G81))=0</formula>
    </cfRule>
    <cfRule type="containsText" dxfId="14" priority="21" operator="containsText" text="(선택)">
      <formula>NOT(ISERROR(SEARCH("(선택)",G81)))</formula>
    </cfRule>
  </conditionalFormatting>
  <conditionalFormatting sqref="G195">
    <cfRule type="containsText" dxfId="13" priority="137" operator="containsText" text="(선택)">
      <formula>NOT(ISERROR(SEARCH("(선택)",G195)))</formula>
    </cfRule>
  </conditionalFormatting>
  <conditionalFormatting sqref="G197">
    <cfRule type="containsText" dxfId="12" priority="125" operator="containsText" text="(선택)">
      <formula>NOT(ISERROR(SEARCH("(선택)",G197)))</formula>
    </cfRule>
  </conditionalFormatting>
  <conditionalFormatting sqref="G225:G226">
    <cfRule type="containsText" dxfId="11" priority="134" operator="containsText" text="(선택)">
      <formula>NOT(ISERROR(SEARCH("(선택)",G225)))</formula>
    </cfRule>
  </conditionalFormatting>
  <conditionalFormatting sqref="G229">
    <cfRule type="containsText" dxfId="10" priority="123" operator="containsText" text="(선택)">
      <formula>NOT(ISERROR(SEARCH("(선택)",G229)))</formula>
    </cfRule>
  </conditionalFormatting>
  <conditionalFormatting sqref="G232">
    <cfRule type="containsText" dxfId="9" priority="130" operator="containsText" text="(선택)">
      <formula>NOT(ISERROR(SEARCH("(선택)",G232)))</formula>
    </cfRule>
  </conditionalFormatting>
  <conditionalFormatting sqref="G242">
    <cfRule type="containsText" dxfId="8" priority="136" operator="containsText" text="(선택)">
      <formula>NOT(ISERROR(SEARCH("(선택)",G242)))</formula>
    </cfRule>
  </conditionalFormatting>
  <conditionalFormatting sqref="G244">
    <cfRule type="containsText" dxfId="7" priority="124" operator="containsText" text="(선택)">
      <formula>NOT(ISERROR(SEARCH("(선택)",G244)))</formula>
    </cfRule>
  </conditionalFormatting>
  <conditionalFormatting sqref="G571">
    <cfRule type="containsText" dxfId="6" priority="101" operator="containsText" text="(선택)">
      <formula>NOT(ISERROR(SEARCH("(선택)",G571)))</formula>
    </cfRule>
  </conditionalFormatting>
  <conditionalFormatting sqref="G573:G574">
    <cfRule type="containsText" dxfId="5" priority="99" operator="containsText" text="(선택)">
      <formula>NOT(ISERROR(SEARCH("(선택)",G573)))</formula>
    </cfRule>
  </conditionalFormatting>
  <conditionalFormatting sqref="G586:G587">
    <cfRule type="containsText" dxfId="4" priority="105" operator="containsText" text="(선택)">
      <formula>NOT(ISERROR(SEARCH("(선택)",G586)))</formula>
    </cfRule>
  </conditionalFormatting>
  <conditionalFormatting sqref="H284:H295">
    <cfRule type="containsText" dxfId="3" priority="1" operator="containsText" text="(선택)">
      <formula>NOT(ISERROR(SEARCH("(선택)",H284)))</formula>
    </cfRule>
  </conditionalFormatting>
  <conditionalFormatting sqref="J1:K1048576">
    <cfRule type="containsText" dxfId="2" priority="2" operator="containsText" text="Performance">
      <formula>NOT(ISERROR(SEARCH("Performance",J1)))</formula>
    </cfRule>
  </conditionalFormatting>
  <dataValidations disablePrompts="1" count="30">
    <dataValidation type="list" allowBlank="1" showInputMessage="1" showErrorMessage="1" sqref="E193" xr:uid="{00000000-0002-0000-0100-000000000000}">
      <formula1>"(선택),5,10"</formula1>
    </dataValidation>
    <dataValidation type="list" allowBlank="1" showInputMessage="1" showErrorMessage="1" sqref="E226" xr:uid="{00000000-0002-0000-0100-000001000000}">
      <formula1>"(선택),White,Red"</formula1>
    </dataValidation>
    <dataValidation type="list" allowBlank="1" showInputMessage="1" showErrorMessage="1" sqref="E299" xr:uid="{00000000-0002-0000-0100-000002000000}">
      <formula1>"(선택), Pin type, Pin Bar type, Bar type, Fork type"</formula1>
    </dataValidation>
    <dataValidation type="list" allowBlank="1" showInputMessage="1" showErrorMessage="1" sqref="E300" xr:uid="{00000000-0002-0000-0100-000003000000}">
      <formula1>"(선택), Aluminium, SiC"</formula1>
    </dataValidation>
    <dataValidation showDropDown="1" showInputMessage="1" showErrorMessage="1" sqref="E231 G583" xr:uid="{00000000-0002-0000-0100-000004000000}"/>
    <dataValidation type="list" allowBlank="1" showInputMessage="1" showErrorMessage="1" sqref="E191" xr:uid="{00000000-0002-0000-0100-000005000000}">
      <formula1>"(선택), NA, Installed"</formula1>
    </dataValidation>
    <dataValidation type="list" allowBlank="1" showInputMessage="1" showErrorMessage="1" sqref="E383" xr:uid="{00000000-0002-0000-0100-000006000000}">
      <formula1>"(선택),6,7,8"</formula1>
    </dataValidation>
    <dataValidation type="list" allowBlank="1" showInputMessage="1" showErrorMessage="1" sqref="E404" xr:uid="{00000000-0002-0000-0100-000007000000}">
      <formula1>"(선택), White, Yellow"</formula1>
    </dataValidation>
    <dataValidation type="list" allowBlank="1" showInputMessage="1" showErrorMessage="1" sqref="E5" xr:uid="{00000000-0002-0000-0100-000008000000}">
      <formula1>"(선택), IND-M, IND-M1"</formula1>
    </dataValidation>
    <dataValidation type="list" allowBlank="1" showInputMessage="1" showErrorMessage="1" sqref="E12" xr:uid="{00000000-0002-0000-0100-000009000000}">
      <formula1>"(선택), Standard, Long, Auto standard, Auto Long"</formula1>
    </dataValidation>
    <dataValidation type="list" allowBlank="1" showInputMessage="1" showErrorMessage="1" sqref="E13" xr:uid="{00000000-0002-0000-0100-00000A000000}">
      <formula1>"(선택), High Frequency, Standard"</formula1>
    </dataValidation>
    <dataValidation type="list" allowBlank="1" showInputMessage="1" showErrorMessage="1" sqref="E166 E169" xr:uid="{00000000-0002-0000-0100-00000B000000}">
      <formula1>"(선택), 2, 2&amp;4"</formula1>
    </dataValidation>
    <dataValidation type="list" allowBlank="1" showInputMessage="1" showErrorMessage="1" sqref="E192" xr:uid="{00000000-0002-0000-0100-00000C000000}">
      <formula1>"(선택), RYGB, RYGW, RYG"</formula1>
    </dataValidation>
    <dataValidation type="list" allowBlank="1" showInputMessage="1" showErrorMessage="1" sqref="E77" xr:uid="{00000000-0002-0000-0100-00000D000000}">
      <formula1>"(선택), English, Korean"</formula1>
    </dataValidation>
    <dataValidation type="list" allowBlank="1" showInputMessage="1" showErrorMessage="1" sqref="E217" xr:uid="{00000000-0002-0000-0100-00000E000000}">
      <formula1>"(선택), White, Red"</formula1>
    </dataValidation>
    <dataValidation type="list" allowBlank="1" showInputMessage="1" showErrorMessage="1" sqref="E6" xr:uid="{00000000-0002-0000-0100-00000F000000}">
      <formula1>"(선택), 0x6e30041e, 0x6e31041e"</formula1>
    </dataValidation>
    <dataValidation type="list" allowBlank="1" showInputMessage="1" showErrorMessage="1" sqref="E7" xr:uid="{00000000-0002-0000-0100-000010000000}">
      <formula1>"(선택), 0x6e10041e, 0x6e11041e"</formula1>
    </dataValidation>
    <dataValidation type="list" allowBlank="1" showInputMessage="1" showErrorMessage="1" sqref="D168" xr:uid="{00000000-0002-0000-0100-000011000000}">
      <formula1>"(선택), 120, 198"</formula1>
    </dataValidation>
    <dataValidation type="list" allowBlank="1" showInputMessage="1" showErrorMessage="1" sqref="E170" xr:uid="{00000000-0002-0000-0100-000012000000}">
      <formula1>"(선택), HF, LF"</formula1>
    </dataValidation>
    <dataValidation type="list" allowBlank="1" showInputMessage="1" showErrorMessage="1" sqref="E405" xr:uid="{00000000-0002-0000-0100-000013000000}">
      <formula1>"(선택), Yes, No"</formula1>
    </dataValidation>
    <dataValidation type="list" allowBlank="1" showInputMessage="1" showErrorMessage="1" sqref="E252" xr:uid="{00000000-0002-0000-0100-000014000000}">
      <formula1>"(선택), 0x6e24041e, 0x6e25041e"</formula1>
    </dataValidation>
    <dataValidation type="list" allowBlank="1" showInputMessage="1" showErrorMessage="1" sqref="E62" xr:uid="{00000000-0002-0000-0100-000015000000}">
      <formula1>"(선택), PoE, Non-PoE"</formula1>
    </dataValidation>
    <dataValidation type="list" allowBlank="1" showInputMessage="1" showErrorMessage="1" sqref="E483 E554 E232" xr:uid="{00000000-0002-0000-0100-000016000000}">
      <formula1>"(선택), RGH24H, V2BCH"</formula1>
    </dataValidation>
    <dataValidation type="list" allowBlank="1" showInputMessage="1" showErrorMessage="1" sqref="E234 E485:E486 E555" xr:uid="{00000000-0002-0000-0100-000017000000}">
      <formula1>"(선택), Green, Blue"</formula1>
    </dataValidation>
    <dataValidation type="list" allowBlank="1" showInputMessage="1" showErrorMessage="1" sqref="E80" xr:uid="{00000000-0002-0000-0100-000018000000}">
      <formula1>"(선택), HP Z4 G4 Workstation, HP Z4 G5 Workstation"</formula1>
    </dataValidation>
    <dataValidation type="list" allowBlank="1" showInputMessage="1" showErrorMessage="1" sqref="E407" xr:uid="{00000000-0002-0000-0100-000019000000}">
      <formula1>"(선택), GT2450C, Mako G-507C"</formula1>
    </dataValidation>
    <dataValidation type="list" allowBlank="1" showInputMessage="1" showErrorMessage="1" sqref="E412" xr:uid="{00000000-0002-0000-0100-00001A000000}">
      <formula1>"(선택), 1830, 1828"</formula1>
    </dataValidation>
    <dataValidation type="list" allowBlank="1" showInputMessage="1" showErrorMessage="1" sqref="E76" xr:uid="{00000000-0002-0000-0100-00001B000000}">
      <formula1>"(선택), Window10 64bit, Window11 64bit"</formula1>
    </dataValidation>
    <dataValidation type="list" operator="equal" allowBlank="1" showInputMessage="1" showErrorMessage="1" sqref="E82" xr:uid="{00000000-0002-0000-0100-00001C000000}">
      <formula1>"(선택),6e42 0418,6e44 0418,6e42 041c,6e44 041c,0x6E450421"</formula1>
      <formula2>0</formula2>
    </dataValidation>
    <dataValidation type="list" allowBlank="1" showInputMessage="1" showErrorMessage="1" sqref="F302" xr:uid="{00000000-0002-0000-0100-00001D000000}">
      <formula1>"(선택), 30, 50"</formula1>
    </dataValidation>
  </dataValidations>
  <printOptions horizontalCentered="1"/>
  <pageMargins left="0.19685039370078741" right="0.19685039370078741" top="0.39370078740157483" bottom="0.39370078740157483" header="0.31496062992125984" footer="0.19685039370078741"/>
  <pageSetup paperSize="9" scale="56" fitToHeight="0" orientation="landscape" r:id="rId1"/>
  <headerFooter differentFirst="1" scaleWithDoc="0" alignWithMargins="0">
    <oddFooter>&amp;C&amp;6&amp;P/&amp;N&amp;R&amp;6Manufacturing Center v3.21.1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rgb="FF0070C0"/>
    <pageSetUpPr fitToPage="1"/>
  </sheetPr>
  <dimension ref="B1:X345"/>
  <sheetViews>
    <sheetView showGridLines="0" view="pageBreakPreview" topLeftCell="A13" zoomScale="60" zoomScaleNormal="55" zoomScalePageLayoutView="55" workbookViewId="0">
      <selection activeCell="L43" sqref="L43:V45"/>
    </sheetView>
  </sheetViews>
  <sheetFormatPr defaultRowHeight="17.399999999999999"/>
  <cols>
    <col min="2" max="7" width="8.69921875" style="24"/>
    <col min="8" max="8" width="8.69921875" style="49" customWidth="1"/>
    <col min="9" max="9" width="7.09765625" style="24" customWidth="1"/>
    <col min="10" max="10" width="2.5" style="24" customWidth="1"/>
    <col min="11" max="11" width="20.19921875" style="24" customWidth="1"/>
    <col min="12" max="12" width="3.09765625" customWidth="1"/>
    <col min="13" max="13" width="6.19921875" customWidth="1"/>
    <col min="14" max="14" width="2.5" customWidth="1"/>
    <col min="15" max="15" width="7" customWidth="1"/>
    <col min="16" max="16" width="2.5" customWidth="1"/>
    <col min="17" max="17" width="8.69921875" customWidth="1"/>
    <col min="20" max="20" width="8.69921875" customWidth="1"/>
    <col min="22" max="22" width="8.69921875" customWidth="1"/>
  </cols>
  <sheetData>
    <row r="1" spans="2:24">
      <c r="B1"/>
      <c r="C1"/>
      <c r="D1"/>
      <c r="E1"/>
      <c r="F1"/>
      <c r="G1"/>
      <c r="H1"/>
      <c r="I1"/>
      <c r="J1"/>
      <c r="K1"/>
    </row>
    <row r="2" spans="2:24">
      <c r="B2"/>
      <c r="C2"/>
      <c r="D2"/>
      <c r="E2"/>
      <c r="F2"/>
      <c r="G2"/>
      <c r="H2"/>
      <c r="I2"/>
      <c r="J2"/>
      <c r="K2"/>
    </row>
    <row r="3" spans="2:24">
      <c r="B3"/>
      <c r="C3"/>
      <c r="D3"/>
      <c r="E3"/>
      <c r="F3"/>
      <c r="G3"/>
      <c r="H3"/>
      <c r="I3"/>
      <c r="J3"/>
      <c r="K3"/>
    </row>
    <row r="4" spans="2:24">
      <c r="B4"/>
      <c r="C4"/>
      <c r="D4"/>
      <c r="E4"/>
      <c r="F4"/>
      <c r="G4" s="240" t="s">
        <v>213</v>
      </c>
      <c r="H4" s="240"/>
      <c r="I4" s="240"/>
      <c r="J4" s="240"/>
      <c r="K4" s="240"/>
      <c r="L4" s="240"/>
      <c r="M4" s="240"/>
      <c r="N4" s="240"/>
      <c r="O4" s="240"/>
      <c r="P4" s="240"/>
      <c r="Q4" s="240"/>
      <c r="R4" s="240"/>
      <c r="S4" s="240"/>
      <c r="T4" s="240"/>
      <c r="U4" s="240"/>
    </row>
    <row r="5" spans="2:24">
      <c r="B5"/>
      <c r="C5"/>
      <c r="D5"/>
      <c r="E5"/>
      <c r="F5"/>
      <c r="G5" s="240"/>
      <c r="H5" s="240"/>
      <c r="I5" s="240"/>
      <c r="J5" s="240"/>
      <c r="K5" s="240"/>
      <c r="L5" s="240"/>
      <c r="M5" s="240"/>
      <c r="N5" s="240"/>
      <c r="O5" s="240"/>
      <c r="P5" s="240"/>
      <c r="Q5" s="240"/>
      <c r="R5" s="240"/>
      <c r="S5" s="240"/>
      <c r="T5" s="240"/>
      <c r="U5" s="240"/>
    </row>
    <row r="6" spans="2:24">
      <c r="B6"/>
      <c r="C6"/>
      <c r="D6"/>
      <c r="E6"/>
      <c r="F6"/>
      <c r="G6" s="240"/>
      <c r="H6" s="240"/>
      <c r="I6" s="240"/>
      <c r="J6" s="240"/>
      <c r="K6" s="240"/>
      <c r="L6" s="240"/>
      <c r="M6" s="240"/>
      <c r="N6" s="240"/>
      <c r="O6" s="240"/>
      <c r="P6" s="240"/>
      <c r="Q6" s="240"/>
      <c r="R6" s="240"/>
      <c r="S6" s="240"/>
      <c r="T6" s="240"/>
      <c r="U6" s="240"/>
    </row>
    <row r="7" spans="2:24">
      <c r="B7"/>
      <c r="C7"/>
      <c r="D7"/>
      <c r="E7"/>
      <c r="F7"/>
      <c r="G7" s="240"/>
      <c r="H7" s="240"/>
      <c r="I7" s="240"/>
      <c r="J7" s="240"/>
      <c r="K7" s="240"/>
      <c r="L7" s="240"/>
      <c r="M7" s="240"/>
      <c r="N7" s="240"/>
      <c r="O7" s="240"/>
      <c r="P7" s="240"/>
      <c r="Q7" s="240"/>
      <c r="R7" s="240"/>
      <c r="S7" s="240"/>
      <c r="T7" s="240"/>
      <c r="U7" s="240"/>
    </row>
    <row r="8" spans="2:24" ht="17.399999999999999" customHeight="1">
      <c r="B8"/>
      <c r="C8"/>
      <c r="D8"/>
      <c r="E8"/>
      <c r="F8"/>
      <c r="G8" s="47"/>
      <c r="H8" s="47"/>
      <c r="I8" s="47"/>
      <c r="J8" s="47"/>
      <c r="K8" s="47"/>
      <c r="L8" s="47"/>
      <c r="M8" s="47"/>
      <c r="N8" s="47"/>
      <c r="O8" s="47"/>
      <c r="P8" s="47"/>
      <c r="Q8" s="47"/>
      <c r="R8" s="47"/>
      <c r="S8" s="47"/>
      <c r="T8" s="47"/>
      <c r="U8" s="47"/>
    </row>
    <row r="9" spans="2:24" ht="17.399999999999999" customHeight="1">
      <c r="B9"/>
      <c r="C9"/>
      <c r="D9"/>
      <c r="E9"/>
      <c r="F9"/>
      <c r="G9" s="47"/>
      <c r="H9" s="47"/>
      <c r="I9" s="47"/>
      <c r="J9" s="47"/>
      <c r="K9" s="47"/>
      <c r="L9" s="47"/>
      <c r="M9" s="47"/>
      <c r="N9" s="47"/>
      <c r="O9" s="47"/>
      <c r="P9" s="47"/>
      <c r="Q9" s="47"/>
      <c r="R9" s="47"/>
      <c r="S9" s="47"/>
      <c r="T9" s="47"/>
      <c r="U9" s="47"/>
    </row>
    <row r="10" spans="2:24" ht="17.399999999999999" customHeight="1">
      <c r="B10"/>
      <c r="C10"/>
      <c r="D10"/>
      <c r="E10"/>
      <c r="F10"/>
      <c r="G10"/>
      <c r="H10"/>
      <c r="I10"/>
      <c r="J10"/>
      <c r="K10"/>
    </row>
    <row r="11" spans="2:24" ht="17.399999999999999" customHeight="1">
      <c r="B11"/>
      <c r="C11"/>
      <c r="D11"/>
      <c r="E11"/>
      <c r="F11"/>
      <c r="G11"/>
      <c r="H11"/>
      <c r="I11"/>
      <c r="J11"/>
      <c r="K11"/>
    </row>
    <row r="12" spans="2:24" ht="17.399999999999999" customHeight="1">
      <c r="B12"/>
      <c r="C12"/>
      <c r="D12"/>
      <c r="E12" s="241" t="s">
        <v>545</v>
      </c>
      <c r="F12" s="241"/>
      <c r="G12" s="241"/>
      <c r="H12" s="241"/>
      <c r="I12" s="241"/>
      <c r="J12" s="241"/>
      <c r="K12" s="241"/>
      <c r="L12" s="241"/>
      <c r="M12" s="241"/>
      <c r="N12" s="241"/>
      <c r="O12" s="241"/>
      <c r="P12" s="241"/>
      <c r="Q12" s="241"/>
      <c r="R12" s="241"/>
      <c r="S12" s="241"/>
      <c r="T12" s="241"/>
      <c r="U12" s="241"/>
      <c r="V12" s="241"/>
      <c r="W12" s="241"/>
      <c r="X12" s="241"/>
    </row>
    <row r="13" spans="2:24">
      <c r="B13"/>
      <c r="C13"/>
      <c r="D13"/>
      <c r="E13" s="241"/>
      <c r="F13" s="241"/>
      <c r="G13" s="241"/>
      <c r="H13" s="241"/>
      <c r="I13" s="241"/>
      <c r="J13" s="241"/>
      <c r="K13" s="241"/>
      <c r="L13" s="241"/>
      <c r="M13" s="241"/>
      <c r="N13" s="241"/>
      <c r="O13" s="241"/>
      <c r="P13" s="241"/>
      <c r="Q13" s="241"/>
      <c r="R13" s="241"/>
      <c r="S13" s="241"/>
      <c r="T13" s="241"/>
      <c r="U13" s="241"/>
      <c r="V13" s="241"/>
      <c r="W13" s="241"/>
      <c r="X13" s="241"/>
    </row>
    <row r="14" spans="2:24">
      <c r="B14"/>
      <c r="C14"/>
      <c r="D14"/>
      <c r="E14" s="241"/>
      <c r="F14" s="241"/>
      <c r="G14" s="241"/>
      <c r="H14" s="241"/>
      <c r="I14" s="241"/>
      <c r="J14" s="241"/>
      <c r="K14" s="241"/>
      <c r="L14" s="241"/>
      <c r="M14" s="241"/>
      <c r="N14" s="241"/>
      <c r="O14" s="241"/>
      <c r="P14" s="241"/>
      <c r="Q14" s="241"/>
      <c r="R14" s="241"/>
      <c r="S14" s="241"/>
      <c r="T14" s="241"/>
      <c r="U14" s="241"/>
      <c r="V14" s="241"/>
      <c r="W14" s="241"/>
      <c r="X14" s="241"/>
    </row>
    <row r="15" spans="2:24">
      <c r="B15"/>
      <c r="C15"/>
      <c r="D15"/>
      <c r="E15" s="241"/>
      <c r="F15" s="241"/>
      <c r="G15" s="241"/>
      <c r="H15" s="241"/>
      <c r="I15" s="241"/>
      <c r="J15" s="241"/>
      <c r="K15" s="241"/>
      <c r="L15" s="241"/>
      <c r="M15" s="241"/>
      <c r="N15" s="241"/>
      <c r="O15" s="241"/>
      <c r="P15" s="241"/>
      <c r="Q15" s="241"/>
      <c r="R15" s="241"/>
      <c r="S15" s="241"/>
      <c r="T15" s="241"/>
      <c r="U15" s="241"/>
      <c r="V15" s="241"/>
      <c r="W15" s="241"/>
      <c r="X15" s="241"/>
    </row>
    <row r="16" spans="2:24">
      <c r="B16"/>
      <c r="C16"/>
      <c r="D16"/>
      <c r="E16" s="241"/>
      <c r="F16" s="241"/>
      <c r="G16" s="241"/>
      <c r="H16" s="241"/>
      <c r="I16" s="241"/>
      <c r="J16" s="241"/>
      <c r="K16" s="241"/>
      <c r="L16" s="241"/>
      <c r="M16" s="241"/>
      <c r="N16" s="241"/>
      <c r="O16" s="241"/>
      <c r="P16" s="241"/>
      <c r="Q16" s="241"/>
      <c r="R16" s="241"/>
      <c r="S16" s="241"/>
      <c r="T16" s="241"/>
      <c r="U16" s="241"/>
      <c r="V16" s="241"/>
      <c r="W16" s="241"/>
      <c r="X16" s="241"/>
    </row>
    <row r="17" spans="2:24" ht="17.399999999999999" customHeight="1">
      <c r="B17"/>
      <c r="C17"/>
      <c r="D17"/>
      <c r="E17" s="241"/>
      <c r="F17" s="241"/>
      <c r="G17" s="241"/>
      <c r="H17" s="241"/>
      <c r="I17" s="241"/>
      <c r="J17" s="241"/>
      <c r="K17" s="241"/>
      <c r="L17" s="241"/>
      <c r="M17" s="241"/>
      <c r="N17" s="241"/>
      <c r="O17" s="241"/>
      <c r="P17" s="241"/>
      <c r="Q17" s="241"/>
      <c r="R17" s="241"/>
      <c r="S17" s="241"/>
      <c r="T17" s="241"/>
      <c r="U17" s="241"/>
      <c r="V17" s="241"/>
      <c r="W17" s="241"/>
      <c r="X17" s="241"/>
    </row>
    <row r="18" spans="2:24" ht="17.399999999999999" customHeight="1">
      <c r="B18"/>
      <c r="C18"/>
      <c r="D18"/>
      <c r="E18" s="48"/>
      <c r="F18" s="48"/>
      <c r="G18" s="48"/>
      <c r="H18" s="48"/>
      <c r="I18" s="48"/>
      <c r="J18" s="48"/>
      <c r="K18" s="48"/>
      <c r="L18" s="48"/>
      <c r="M18" s="48"/>
      <c r="N18" s="48"/>
      <c r="O18" s="48"/>
      <c r="P18" s="48"/>
      <c r="Q18" s="48"/>
      <c r="R18" s="48"/>
      <c r="S18" s="48"/>
      <c r="T18" s="48"/>
      <c r="U18" s="48"/>
      <c r="V18" s="48"/>
      <c r="W18" s="48"/>
      <c r="X18" s="48"/>
    </row>
    <row r="19" spans="2:24" ht="17.399999999999999" customHeight="1">
      <c r="B19"/>
      <c r="C19"/>
      <c r="D19"/>
      <c r="E19" s="12"/>
      <c r="F19" s="12"/>
      <c r="G19" s="12"/>
      <c r="H19" s="12"/>
      <c r="I19" s="12"/>
      <c r="J19" s="12"/>
      <c r="K19" s="12"/>
      <c r="L19" s="12"/>
      <c r="M19" s="12"/>
      <c r="N19" s="12"/>
      <c r="O19" s="12"/>
      <c r="P19" s="12"/>
      <c r="Q19" s="12"/>
      <c r="R19" s="12"/>
      <c r="S19" s="12"/>
      <c r="T19" s="12"/>
      <c r="U19" s="12"/>
      <c r="V19" s="12"/>
      <c r="W19" s="12"/>
      <c r="X19" s="13"/>
    </row>
    <row r="20" spans="2:24" ht="17.399999999999999" customHeight="1">
      <c r="B20"/>
      <c r="C20"/>
      <c r="D20"/>
      <c r="E20" s="12"/>
      <c r="F20" s="12"/>
      <c r="G20" s="12"/>
      <c r="H20" s="12"/>
      <c r="I20" s="12"/>
      <c r="J20" s="12"/>
      <c r="K20" s="12"/>
      <c r="L20" s="12"/>
      <c r="M20" s="12"/>
      <c r="N20" s="12"/>
      <c r="O20" s="12"/>
      <c r="P20" s="12"/>
      <c r="Q20" s="12"/>
      <c r="R20" s="12"/>
      <c r="S20" s="12"/>
      <c r="T20" s="12"/>
      <c r="U20" s="12"/>
      <c r="V20" s="12"/>
      <c r="W20" s="12"/>
      <c r="X20" s="13"/>
    </row>
    <row r="21" spans="2:24" ht="17.399999999999999" customHeight="1">
      <c r="B21"/>
      <c r="C21"/>
      <c r="D21"/>
      <c r="E21"/>
      <c r="F21"/>
      <c r="G21"/>
      <c r="H21"/>
      <c r="I21"/>
      <c r="J21"/>
      <c r="K21"/>
    </row>
    <row r="22" spans="2:24" ht="17.399999999999999" customHeight="1">
      <c r="B22"/>
      <c r="C22"/>
      <c r="D22"/>
      <c r="E22"/>
      <c r="F22" s="242" t="s">
        <v>214</v>
      </c>
      <c r="G22" s="243"/>
      <c r="H22" s="243"/>
      <c r="I22" s="243"/>
      <c r="J22" s="243"/>
      <c r="K22" s="243"/>
      <c r="L22" s="248" t="s">
        <v>1763</v>
      </c>
      <c r="M22" s="249"/>
      <c r="N22" s="249"/>
      <c r="O22" s="249"/>
      <c r="P22" s="249"/>
      <c r="Q22" s="249"/>
      <c r="R22" s="249"/>
      <c r="S22" s="249"/>
      <c r="T22" s="249"/>
      <c r="U22" s="249"/>
      <c r="V22" s="250"/>
    </row>
    <row r="23" spans="2:24" ht="17.399999999999999" customHeight="1">
      <c r="B23"/>
      <c r="C23"/>
      <c r="D23"/>
      <c r="E23"/>
      <c r="F23" s="244"/>
      <c r="G23" s="245"/>
      <c r="H23" s="245"/>
      <c r="I23" s="245"/>
      <c r="J23" s="245"/>
      <c r="K23" s="245"/>
      <c r="L23" s="251"/>
      <c r="M23" s="252"/>
      <c r="N23" s="252"/>
      <c r="O23" s="252"/>
      <c r="P23" s="252"/>
      <c r="Q23" s="252"/>
      <c r="R23" s="252"/>
      <c r="S23" s="252"/>
      <c r="T23" s="252"/>
      <c r="U23" s="252"/>
      <c r="V23" s="253"/>
    </row>
    <row r="24" spans="2:24">
      <c r="B24"/>
      <c r="C24"/>
      <c r="D24"/>
      <c r="E24"/>
      <c r="F24" s="246"/>
      <c r="G24" s="247"/>
      <c r="H24" s="247"/>
      <c r="I24" s="247"/>
      <c r="J24" s="247"/>
      <c r="K24" s="247"/>
      <c r="L24" s="254"/>
      <c r="M24" s="255"/>
      <c r="N24" s="255"/>
      <c r="O24" s="255"/>
      <c r="P24" s="255"/>
      <c r="Q24" s="255"/>
      <c r="R24" s="255"/>
      <c r="S24" s="255"/>
      <c r="T24" s="255"/>
      <c r="U24" s="255"/>
      <c r="V24" s="256"/>
    </row>
    <row r="25" spans="2:24">
      <c r="B25"/>
      <c r="C25"/>
      <c r="D25"/>
      <c r="E25"/>
      <c r="F25" s="242" t="s">
        <v>215</v>
      </c>
      <c r="G25" s="243"/>
      <c r="H25" s="243"/>
      <c r="I25" s="243"/>
      <c r="J25" s="243"/>
      <c r="K25" s="243"/>
      <c r="L25" s="248" t="s">
        <v>1764</v>
      </c>
      <c r="M25" s="249"/>
      <c r="N25" s="249"/>
      <c r="O25" s="249"/>
      <c r="P25" s="249"/>
      <c r="Q25" s="249"/>
      <c r="R25" s="249"/>
      <c r="S25" s="249"/>
      <c r="T25" s="249"/>
      <c r="U25" s="249"/>
      <c r="V25" s="250"/>
    </row>
    <row r="26" spans="2:24">
      <c r="B26"/>
      <c r="C26"/>
      <c r="D26"/>
      <c r="E26"/>
      <c r="F26" s="244"/>
      <c r="G26" s="245"/>
      <c r="H26" s="245"/>
      <c r="I26" s="245"/>
      <c r="J26" s="245"/>
      <c r="K26" s="245"/>
      <c r="L26" s="251"/>
      <c r="M26" s="252"/>
      <c r="N26" s="252"/>
      <c r="O26" s="252"/>
      <c r="P26" s="252"/>
      <c r="Q26" s="252"/>
      <c r="R26" s="252"/>
      <c r="S26" s="252"/>
      <c r="T26" s="252"/>
      <c r="U26" s="252"/>
      <c r="V26" s="253"/>
    </row>
    <row r="27" spans="2:24">
      <c r="B27"/>
      <c r="C27"/>
      <c r="D27"/>
      <c r="E27"/>
      <c r="F27" s="246"/>
      <c r="G27" s="247"/>
      <c r="H27" s="247"/>
      <c r="I27" s="247"/>
      <c r="J27" s="247"/>
      <c r="K27" s="247"/>
      <c r="L27" s="254"/>
      <c r="M27" s="255"/>
      <c r="N27" s="255"/>
      <c r="O27" s="255"/>
      <c r="P27" s="255"/>
      <c r="Q27" s="255"/>
      <c r="R27" s="255"/>
      <c r="S27" s="255"/>
      <c r="T27" s="255"/>
      <c r="U27" s="255"/>
      <c r="V27" s="256"/>
    </row>
    <row r="28" spans="2:24" ht="17.399999999999999" customHeight="1">
      <c r="B28"/>
      <c r="C28"/>
      <c r="D28"/>
      <c r="E28"/>
      <c r="F28" s="242" t="s">
        <v>216</v>
      </c>
      <c r="G28" s="243"/>
      <c r="H28" s="243"/>
      <c r="I28" s="243"/>
      <c r="J28" s="243"/>
      <c r="K28" s="243"/>
      <c r="L28" s="248" t="s">
        <v>1765</v>
      </c>
      <c r="M28" s="249"/>
      <c r="N28" s="249"/>
      <c r="O28" s="249"/>
      <c r="P28" s="249"/>
      <c r="Q28" s="249"/>
      <c r="R28" s="249"/>
      <c r="S28" s="249"/>
      <c r="T28" s="249"/>
      <c r="U28" s="249"/>
      <c r="V28" s="250"/>
    </row>
    <row r="29" spans="2:24" ht="17.399999999999999" customHeight="1">
      <c r="B29"/>
      <c r="C29"/>
      <c r="D29"/>
      <c r="E29"/>
      <c r="F29" s="244"/>
      <c r="G29" s="245"/>
      <c r="H29" s="245"/>
      <c r="I29" s="245"/>
      <c r="J29" s="245"/>
      <c r="K29" s="245"/>
      <c r="L29" s="251"/>
      <c r="M29" s="252"/>
      <c r="N29" s="252"/>
      <c r="O29" s="252"/>
      <c r="P29" s="252"/>
      <c r="Q29" s="252"/>
      <c r="R29" s="252"/>
      <c r="S29" s="252"/>
      <c r="T29" s="252"/>
      <c r="U29" s="252"/>
      <c r="V29" s="253"/>
    </row>
    <row r="30" spans="2:24" ht="17.399999999999999" customHeight="1">
      <c r="B30"/>
      <c r="C30"/>
      <c r="D30"/>
      <c r="E30"/>
      <c r="F30" s="246"/>
      <c r="G30" s="247"/>
      <c r="H30" s="247"/>
      <c r="I30" s="247"/>
      <c r="J30" s="247"/>
      <c r="K30" s="247"/>
      <c r="L30" s="254"/>
      <c r="M30" s="255"/>
      <c r="N30" s="255"/>
      <c r="O30" s="255"/>
      <c r="P30" s="255"/>
      <c r="Q30" s="255"/>
      <c r="R30" s="255"/>
      <c r="S30" s="255"/>
      <c r="T30" s="255"/>
      <c r="U30" s="255"/>
      <c r="V30" s="256"/>
    </row>
    <row r="31" spans="2:24" ht="17.399999999999999" customHeight="1">
      <c r="B31"/>
      <c r="C31"/>
      <c r="D31"/>
      <c r="E31"/>
      <c r="F31" s="242" t="s">
        <v>217</v>
      </c>
      <c r="G31" s="243"/>
      <c r="H31" s="243"/>
      <c r="I31" s="243"/>
      <c r="J31" s="243"/>
      <c r="K31" s="257"/>
      <c r="L31" s="260">
        <v>45985</v>
      </c>
      <c r="M31" s="261"/>
      <c r="N31" s="261"/>
      <c r="O31" s="261"/>
      <c r="P31" s="261"/>
      <c r="Q31" s="261"/>
      <c r="R31" s="261"/>
      <c r="S31" s="261"/>
      <c r="T31" s="261"/>
      <c r="U31" s="261"/>
      <c r="V31" s="262"/>
    </row>
    <row r="32" spans="2:24" ht="17.399999999999999" customHeight="1">
      <c r="B32"/>
      <c r="C32"/>
      <c r="D32"/>
      <c r="E32"/>
      <c r="F32" s="244"/>
      <c r="G32" s="245"/>
      <c r="H32" s="245"/>
      <c r="I32" s="245"/>
      <c r="J32" s="245"/>
      <c r="K32" s="258"/>
      <c r="L32" s="263"/>
      <c r="M32" s="264"/>
      <c r="N32" s="264"/>
      <c r="O32" s="264"/>
      <c r="P32" s="264"/>
      <c r="Q32" s="264"/>
      <c r="R32" s="264"/>
      <c r="S32" s="264"/>
      <c r="T32" s="264"/>
      <c r="U32" s="264"/>
      <c r="V32" s="265"/>
    </row>
    <row r="33" spans="2:22" ht="17.399999999999999" customHeight="1">
      <c r="B33"/>
      <c r="C33"/>
      <c r="D33"/>
      <c r="E33"/>
      <c r="F33" s="246"/>
      <c r="G33" s="247"/>
      <c r="H33" s="247"/>
      <c r="I33" s="247"/>
      <c r="J33" s="247"/>
      <c r="K33" s="259"/>
      <c r="L33" s="266"/>
      <c r="M33" s="267"/>
      <c r="N33" s="267"/>
      <c r="O33" s="267"/>
      <c r="P33" s="267"/>
      <c r="Q33" s="267"/>
      <c r="R33" s="267"/>
      <c r="S33" s="267"/>
      <c r="T33" s="267"/>
      <c r="U33" s="267"/>
      <c r="V33" s="268"/>
    </row>
    <row r="34" spans="2:22" ht="17.399999999999999" customHeight="1">
      <c r="B34"/>
      <c r="C34"/>
      <c r="D34"/>
      <c r="E34"/>
      <c r="F34" s="242" t="s">
        <v>218</v>
      </c>
      <c r="G34" s="243"/>
      <c r="H34" s="243"/>
      <c r="I34" s="243"/>
      <c r="J34" s="243"/>
      <c r="K34" s="257"/>
      <c r="L34" s="248" t="s">
        <v>1766</v>
      </c>
      <c r="M34" s="249"/>
      <c r="N34" s="249"/>
      <c r="O34" s="249"/>
      <c r="P34" s="249"/>
      <c r="Q34" s="249"/>
      <c r="R34" s="249"/>
      <c r="S34" s="249"/>
      <c r="T34" s="249"/>
      <c r="U34" s="249"/>
      <c r="V34" s="250"/>
    </row>
    <row r="35" spans="2:22" ht="17.399999999999999" customHeight="1">
      <c r="B35"/>
      <c r="C35"/>
      <c r="D35"/>
      <c r="E35"/>
      <c r="F35" s="244"/>
      <c r="G35" s="245"/>
      <c r="H35" s="245"/>
      <c r="I35" s="245"/>
      <c r="J35" s="245"/>
      <c r="K35" s="258"/>
      <c r="L35" s="251"/>
      <c r="M35" s="252"/>
      <c r="N35" s="252"/>
      <c r="O35" s="252"/>
      <c r="P35" s="252"/>
      <c r="Q35" s="252"/>
      <c r="R35" s="252"/>
      <c r="S35" s="252"/>
      <c r="T35" s="252"/>
      <c r="U35" s="252"/>
      <c r="V35" s="253"/>
    </row>
    <row r="36" spans="2:22" ht="21" customHeight="1">
      <c r="B36"/>
      <c r="C36"/>
      <c r="D36"/>
      <c r="E36"/>
      <c r="F36" s="246"/>
      <c r="G36" s="247"/>
      <c r="H36" s="247"/>
      <c r="I36" s="247"/>
      <c r="J36" s="247"/>
      <c r="K36" s="259"/>
      <c r="L36" s="254"/>
      <c r="M36" s="255"/>
      <c r="N36" s="255"/>
      <c r="O36" s="255"/>
      <c r="P36" s="255"/>
      <c r="Q36" s="255"/>
      <c r="R36" s="255"/>
      <c r="S36" s="255"/>
      <c r="T36" s="255"/>
      <c r="U36" s="255"/>
      <c r="V36" s="256"/>
    </row>
    <row r="37" spans="2:22" ht="21" customHeight="1">
      <c r="B37"/>
      <c r="C37"/>
      <c r="D37"/>
      <c r="E37"/>
      <c r="F37" s="242" t="s">
        <v>934</v>
      </c>
      <c r="G37" s="243"/>
      <c r="H37" s="243"/>
      <c r="I37" s="243"/>
      <c r="J37" s="243"/>
      <c r="K37" s="257"/>
      <c r="L37" s="248" t="s">
        <v>1767</v>
      </c>
      <c r="M37" s="249"/>
      <c r="N37" s="249"/>
      <c r="O37" s="249"/>
      <c r="P37" s="249"/>
      <c r="Q37" s="249"/>
      <c r="R37" s="249"/>
      <c r="S37" s="249"/>
      <c r="T37" s="249"/>
      <c r="U37" s="249"/>
      <c r="V37" s="250"/>
    </row>
    <row r="38" spans="2:22" ht="17.399999999999999" customHeight="1">
      <c r="B38"/>
      <c r="C38"/>
      <c r="D38"/>
      <c r="E38"/>
      <c r="F38" s="244"/>
      <c r="G38" s="245"/>
      <c r="H38" s="245"/>
      <c r="I38" s="245"/>
      <c r="J38" s="245"/>
      <c r="K38" s="258"/>
      <c r="L38" s="251"/>
      <c r="M38" s="252"/>
      <c r="N38" s="252"/>
      <c r="O38" s="252"/>
      <c r="P38" s="252"/>
      <c r="Q38" s="252"/>
      <c r="R38" s="252"/>
      <c r="S38" s="252"/>
      <c r="T38" s="252"/>
      <c r="U38" s="252"/>
      <c r="V38" s="253"/>
    </row>
    <row r="39" spans="2:22" ht="17.399999999999999" customHeight="1">
      <c r="B39"/>
      <c r="C39"/>
      <c r="D39"/>
      <c r="E39"/>
      <c r="F39" s="246"/>
      <c r="G39" s="247"/>
      <c r="H39" s="247"/>
      <c r="I39" s="247"/>
      <c r="J39" s="247"/>
      <c r="K39" s="259"/>
      <c r="L39" s="254"/>
      <c r="M39" s="255"/>
      <c r="N39" s="255"/>
      <c r="O39" s="255"/>
      <c r="P39" s="255"/>
      <c r="Q39" s="255"/>
      <c r="R39" s="255"/>
      <c r="S39" s="255"/>
      <c r="T39" s="255"/>
      <c r="U39" s="255"/>
      <c r="V39" s="256"/>
    </row>
    <row r="40" spans="2:22" ht="17.399999999999999" customHeight="1">
      <c r="B40"/>
      <c r="C40"/>
      <c r="D40"/>
      <c r="E40"/>
      <c r="F40" s="242" t="s">
        <v>935</v>
      </c>
      <c r="G40" s="243"/>
      <c r="H40" s="243"/>
      <c r="I40" s="243"/>
      <c r="J40" s="243"/>
      <c r="K40" s="257"/>
      <c r="L40" s="248" t="s">
        <v>1788</v>
      </c>
      <c r="M40" s="249"/>
      <c r="N40" s="249"/>
      <c r="O40" s="249"/>
      <c r="P40" s="249"/>
      <c r="Q40" s="249"/>
      <c r="R40" s="249"/>
      <c r="S40" s="249"/>
      <c r="T40" s="249"/>
      <c r="U40" s="249"/>
      <c r="V40" s="250"/>
    </row>
    <row r="41" spans="2:22" ht="17.399999999999999" customHeight="1">
      <c r="B41"/>
      <c r="C41"/>
      <c r="D41"/>
      <c r="E41"/>
      <c r="F41" s="244"/>
      <c r="G41" s="245"/>
      <c r="H41" s="245"/>
      <c r="I41" s="245"/>
      <c r="J41" s="245"/>
      <c r="K41" s="258"/>
      <c r="L41" s="251"/>
      <c r="M41" s="252"/>
      <c r="N41" s="252"/>
      <c r="O41" s="252"/>
      <c r="P41" s="252"/>
      <c r="Q41" s="252"/>
      <c r="R41" s="252"/>
      <c r="S41" s="252"/>
      <c r="T41" s="252"/>
      <c r="U41" s="252"/>
      <c r="V41" s="253"/>
    </row>
    <row r="42" spans="2:22" ht="17.399999999999999" customHeight="1">
      <c r="B42"/>
      <c r="C42"/>
      <c r="D42"/>
      <c r="E42"/>
      <c r="F42" s="246"/>
      <c r="G42" s="247"/>
      <c r="H42" s="247"/>
      <c r="I42" s="247"/>
      <c r="J42" s="247"/>
      <c r="K42" s="259"/>
      <c r="L42" s="254"/>
      <c r="M42" s="255"/>
      <c r="N42" s="255"/>
      <c r="O42" s="255"/>
      <c r="P42" s="255"/>
      <c r="Q42" s="255"/>
      <c r="R42" s="255"/>
      <c r="S42" s="255"/>
      <c r="T42" s="255"/>
      <c r="U42" s="255"/>
      <c r="V42" s="256"/>
    </row>
    <row r="43" spans="2:22" ht="17.399999999999999" customHeight="1">
      <c r="B43"/>
      <c r="C43"/>
      <c r="D43"/>
      <c r="E43"/>
      <c r="F43" s="242" t="s">
        <v>936</v>
      </c>
      <c r="G43" s="243"/>
      <c r="H43" s="243"/>
      <c r="I43" s="243"/>
      <c r="J43" s="243"/>
      <c r="K43" s="257"/>
      <c r="L43" s="248" t="s">
        <v>1656</v>
      </c>
      <c r="M43" s="249"/>
      <c r="N43" s="249"/>
      <c r="O43" s="249"/>
      <c r="P43" s="249"/>
      <c r="Q43" s="249"/>
      <c r="R43" s="249"/>
      <c r="S43" s="249"/>
      <c r="T43" s="249"/>
      <c r="U43" s="249"/>
      <c r="V43" s="250"/>
    </row>
    <row r="44" spans="2:22" ht="17.399999999999999" customHeight="1">
      <c r="B44"/>
      <c r="C44"/>
      <c r="D44"/>
      <c r="E44"/>
      <c r="F44" s="244"/>
      <c r="G44" s="245"/>
      <c r="H44" s="245"/>
      <c r="I44" s="245"/>
      <c r="J44" s="245"/>
      <c r="K44" s="258"/>
      <c r="L44" s="251"/>
      <c r="M44" s="252"/>
      <c r="N44" s="252"/>
      <c r="O44" s="252"/>
      <c r="P44" s="252"/>
      <c r="Q44" s="252"/>
      <c r="R44" s="252"/>
      <c r="S44" s="252"/>
      <c r="T44" s="252"/>
      <c r="U44" s="252"/>
      <c r="V44" s="253"/>
    </row>
    <row r="45" spans="2:22" ht="17.399999999999999" customHeight="1">
      <c r="B45"/>
      <c r="C45"/>
      <c r="D45"/>
      <c r="E45"/>
      <c r="F45" s="246"/>
      <c r="G45" s="247"/>
      <c r="H45" s="247"/>
      <c r="I45" s="247"/>
      <c r="J45" s="247"/>
      <c r="K45" s="259"/>
      <c r="L45" s="254"/>
      <c r="M45" s="255"/>
      <c r="N45" s="255"/>
      <c r="O45" s="255"/>
      <c r="P45" s="255"/>
      <c r="Q45" s="255"/>
      <c r="R45" s="255"/>
      <c r="S45" s="255"/>
      <c r="T45" s="255"/>
      <c r="U45" s="255"/>
      <c r="V45" s="256"/>
    </row>
    <row r="46" spans="2:22">
      <c r="B46"/>
      <c r="C46"/>
      <c r="D46"/>
      <c r="E46"/>
      <c r="F46"/>
      <c r="G46"/>
      <c r="H46"/>
      <c r="I46"/>
      <c r="J46"/>
      <c r="K46"/>
    </row>
    <row r="47" spans="2:22">
      <c r="B47"/>
      <c r="C47"/>
      <c r="D47"/>
      <c r="E47"/>
      <c r="F47"/>
      <c r="G47"/>
      <c r="H47"/>
      <c r="I47"/>
      <c r="J47"/>
      <c r="K47"/>
    </row>
    <row r="75" spans="8:10">
      <c r="J75" s="24" t="s">
        <v>348</v>
      </c>
    </row>
    <row r="77" spans="8:10">
      <c r="H77" s="24"/>
    </row>
    <row r="78" spans="8:10">
      <c r="H78" s="24"/>
    </row>
    <row r="79" spans="8:10">
      <c r="H79" s="24"/>
    </row>
    <row r="80" spans="8:10">
      <c r="H80" s="24"/>
    </row>
    <row r="83" spans="4:4">
      <c r="D83" s="43"/>
    </row>
    <row r="98" spans="4:8">
      <c r="E98" s="56"/>
      <c r="G98" s="56"/>
    </row>
    <row r="99" spans="4:8">
      <c r="E99" s="56"/>
      <c r="G99" s="56"/>
      <c r="H99" s="57"/>
    </row>
    <row r="100" spans="4:8">
      <c r="H100" s="58"/>
    </row>
    <row r="101" spans="4:8">
      <c r="H101" s="59"/>
    </row>
    <row r="107" spans="4:8">
      <c r="H107" s="24"/>
    </row>
    <row r="108" spans="4:8">
      <c r="D108" s="43"/>
      <c r="G108" s="55"/>
    </row>
    <row r="109" spans="4:8">
      <c r="D109" s="43"/>
    </row>
    <row r="110" spans="4:8">
      <c r="D110" s="43"/>
      <c r="G110" s="55"/>
    </row>
    <row r="111" spans="4:8">
      <c r="D111" s="43"/>
    </row>
    <row r="112" spans="4:8">
      <c r="D112" s="43"/>
      <c r="G112" s="55"/>
      <c r="H112" s="51"/>
    </row>
    <row r="113" spans="4:8">
      <c r="D113" s="43"/>
    </row>
    <row r="114" spans="4:8">
      <c r="D114" s="43"/>
      <c r="G114" s="55"/>
    </row>
    <row r="115" spans="4:8">
      <c r="D115" s="43"/>
    </row>
    <row r="119" spans="4:8">
      <c r="D119" s="43"/>
    </row>
    <row r="124" spans="4:8">
      <c r="D124" s="43"/>
    </row>
    <row r="127" spans="4:8">
      <c r="H127" s="24"/>
    </row>
    <row r="128" spans="4:8">
      <c r="H128" s="24"/>
    </row>
    <row r="130" spans="8:11">
      <c r="H130" s="24"/>
    </row>
    <row r="140" spans="8:11">
      <c r="K140" s="43"/>
    </row>
    <row r="157" spans="5:8">
      <c r="H157" s="24"/>
    </row>
    <row r="158" spans="5:8">
      <c r="H158" s="24"/>
    </row>
    <row r="159" spans="5:8">
      <c r="E159" s="53"/>
    </row>
    <row r="160" spans="5:8">
      <c r="G160" s="53"/>
      <c r="H160" s="52"/>
    </row>
    <row r="161" spans="7:8">
      <c r="H161" s="24"/>
    </row>
    <row r="163" spans="7:8">
      <c r="G163" s="55"/>
      <c r="H163" s="51"/>
    </row>
    <row r="164" spans="7:8">
      <c r="G164" s="55"/>
      <c r="H164" s="51"/>
    </row>
    <row r="165" spans="7:8">
      <c r="G165" s="55"/>
      <c r="H165" s="51"/>
    </row>
    <row r="166" spans="7:8">
      <c r="G166" s="55"/>
      <c r="H166" s="51"/>
    </row>
    <row r="167" spans="7:8">
      <c r="G167" s="55"/>
      <c r="H167" s="51"/>
    </row>
    <row r="168" spans="7:8">
      <c r="G168" s="55"/>
      <c r="H168" s="51"/>
    </row>
    <row r="169" spans="7:8">
      <c r="G169" s="55"/>
      <c r="H169" s="51"/>
    </row>
    <row r="170" spans="7:8">
      <c r="G170" s="55"/>
      <c r="H170" s="51"/>
    </row>
    <row r="172" spans="7:8">
      <c r="G172" s="60"/>
    </row>
    <row r="173" spans="7:8">
      <c r="G173" s="60"/>
    </row>
    <row r="174" spans="7:8">
      <c r="G174" s="60"/>
    </row>
    <row r="176" spans="7:8">
      <c r="G176" s="60"/>
      <c r="H176" s="50"/>
    </row>
    <row r="177" spans="4:11">
      <c r="J177" s="24" t="str">
        <f t="shared" ref="J177:J188" si="0">IF(H177="","",IF(H177=F177,"Pass","Fail"))</f>
        <v/>
      </c>
    </row>
    <row r="178" spans="4:11">
      <c r="J178" s="24" t="str">
        <f t="shared" si="0"/>
        <v/>
      </c>
    </row>
    <row r="179" spans="4:11">
      <c r="J179" s="24" t="str">
        <f t="shared" si="0"/>
        <v/>
      </c>
    </row>
    <row r="180" spans="4:11">
      <c r="D180" s="61"/>
      <c r="J180" s="24" t="str">
        <f t="shared" si="0"/>
        <v/>
      </c>
    </row>
    <row r="181" spans="4:11">
      <c r="D181" s="61"/>
      <c r="J181" s="24" t="str">
        <f t="shared" si="0"/>
        <v/>
      </c>
    </row>
    <row r="182" spans="4:11">
      <c r="D182" s="61"/>
      <c r="J182" s="24" t="str">
        <f t="shared" si="0"/>
        <v/>
      </c>
    </row>
    <row r="183" spans="4:11">
      <c r="H183" s="54"/>
      <c r="J183" s="24" t="str">
        <f t="shared" si="0"/>
        <v/>
      </c>
    </row>
    <row r="184" spans="4:11">
      <c r="J184" s="24" t="str">
        <f t="shared" si="0"/>
        <v/>
      </c>
    </row>
    <row r="185" spans="4:11">
      <c r="F185" s="24" t="s">
        <v>361</v>
      </c>
      <c r="H185" s="49" t="s">
        <v>360</v>
      </c>
      <c r="J185" s="24" t="str">
        <f t="shared" si="0"/>
        <v>Pass</v>
      </c>
    </row>
    <row r="186" spans="4:11">
      <c r="J186" s="24" t="str">
        <f t="shared" si="0"/>
        <v/>
      </c>
    </row>
    <row r="187" spans="4:11">
      <c r="J187" s="24" t="str">
        <f t="shared" si="0"/>
        <v/>
      </c>
    </row>
    <row r="188" spans="4:11">
      <c r="J188" s="24" t="str">
        <f t="shared" si="0"/>
        <v/>
      </c>
    </row>
    <row r="189" spans="4:11">
      <c r="K189" s="43" t="s">
        <v>466</v>
      </c>
    </row>
    <row r="190" spans="4:11">
      <c r="K190" s="43" t="s">
        <v>466</v>
      </c>
    </row>
    <row r="191" spans="4:11">
      <c r="J191" s="24" t="str">
        <f>IF(H191="","",IF(H191=F191,"Pass","Fail"))</f>
        <v/>
      </c>
    </row>
    <row r="192" spans="4:11">
      <c r="J192" s="24" t="str">
        <f>IF(H192="","",IF(H192=F192,"Pass","Fail"))</f>
        <v/>
      </c>
    </row>
    <row r="193" spans="5:10">
      <c r="H193" s="52">
        <v>1</v>
      </c>
      <c r="J193" s="24" t="str">
        <f>IF(H193="","",IF(H193=F193,"Pass","Fail"))</f>
        <v>Fail</v>
      </c>
    </row>
    <row r="194" spans="5:10">
      <c r="J194" s="24" t="str">
        <f>IF(H194="","",IF(H194=F194,"Pass","Fail"))</f>
        <v/>
      </c>
    </row>
    <row r="195" spans="5:10">
      <c r="J195" s="24" t="str">
        <f>IF(H195="","",IF(H195=F195,"Pass","Fail"))</f>
        <v/>
      </c>
    </row>
    <row r="198" spans="5:10">
      <c r="G198" s="60"/>
    </row>
    <row r="199" spans="5:10">
      <c r="G199" s="60"/>
    </row>
    <row r="200" spans="5:10">
      <c r="H200" s="24"/>
    </row>
    <row r="201" spans="5:10">
      <c r="H201" s="24"/>
    </row>
    <row r="202" spans="5:10">
      <c r="H202" s="24"/>
    </row>
    <row r="203" spans="5:10">
      <c r="G203" s="60"/>
    </row>
    <row r="205" spans="5:10">
      <c r="E205" s="55"/>
      <c r="G205" s="55"/>
    </row>
    <row r="215" spans="5:8">
      <c r="H215" s="52"/>
    </row>
    <row r="220" spans="5:8">
      <c r="E220" s="55"/>
      <c r="F220" s="55"/>
      <c r="G220" s="55"/>
    </row>
    <row r="221" spans="5:8">
      <c r="E221" s="55"/>
      <c r="F221" s="55"/>
      <c r="G221" s="55"/>
    </row>
    <row r="222" spans="5:8">
      <c r="E222" s="55"/>
      <c r="F222" s="55"/>
      <c r="G222" s="55"/>
    </row>
    <row r="223" spans="5:8">
      <c r="E223" s="55"/>
      <c r="F223" s="55"/>
      <c r="G223" s="55"/>
    </row>
    <row r="224" spans="5:8">
      <c r="H224" s="52"/>
    </row>
    <row r="225" spans="5:9">
      <c r="H225" s="52"/>
    </row>
    <row r="226" spans="5:9">
      <c r="H226" s="52"/>
    </row>
    <row r="227" spans="5:9">
      <c r="H227" s="52"/>
    </row>
    <row r="228" spans="5:9">
      <c r="H228" s="52"/>
    </row>
    <row r="229" spans="5:9">
      <c r="H229" s="52"/>
    </row>
    <row r="230" spans="5:9">
      <c r="I230" s="24" t="s">
        <v>127</v>
      </c>
    </row>
    <row r="231" spans="5:9">
      <c r="H231" s="52"/>
    </row>
    <row r="232" spans="5:9">
      <c r="E232" s="55"/>
      <c r="F232" s="55"/>
      <c r="G232" s="55"/>
    </row>
    <row r="233" spans="5:9">
      <c r="E233" s="55"/>
      <c r="F233" s="55"/>
      <c r="G233" s="55"/>
    </row>
    <row r="234" spans="5:9">
      <c r="G234" s="55"/>
      <c r="H234" s="51"/>
    </row>
    <row r="235" spans="5:9">
      <c r="G235" s="55"/>
      <c r="H235" s="51"/>
    </row>
    <row r="236" spans="5:9">
      <c r="G236" s="55"/>
      <c r="H236" s="51"/>
    </row>
    <row r="237" spans="5:9">
      <c r="G237" s="55"/>
      <c r="H237" s="51"/>
    </row>
    <row r="238" spans="5:9">
      <c r="G238" s="55"/>
      <c r="H238" s="51"/>
    </row>
    <row r="239" spans="5:9">
      <c r="G239" s="55"/>
      <c r="H239" s="51"/>
    </row>
    <row r="240" spans="5:9">
      <c r="G240" s="55"/>
      <c r="H240" s="51"/>
    </row>
    <row r="241" spans="4:10">
      <c r="G241" s="55"/>
      <c r="H241" s="51"/>
    </row>
    <row r="242" spans="4:10">
      <c r="G242" s="55"/>
      <c r="H242" s="51"/>
    </row>
    <row r="243" spans="4:10">
      <c r="G243" s="55"/>
      <c r="H243" s="51"/>
    </row>
    <row r="244" spans="4:10">
      <c r="H244" s="24"/>
    </row>
    <row r="245" spans="4:10">
      <c r="H245" s="24"/>
    </row>
    <row r="246" spans="4:10">
      <c r="D246" s="24" t="s">
        <v>440</v>
      </c>
      <c r="J246" s="24" t="str">
        <f>IF(H246="","",IF(H246=F246,"Pass","Fail"))</f>
        <v/>
      </c>
    </row>
    <row r="247" spans="4:10">
      <c r="J247" s="24" t="str">
        <f>IF(H247="","",IF(H247=F247,"Pass","Fail"))</f>
        <v/>
      </c>
    </row>
    <row r="248" spans="4:10">
      <c r="H248" s="52"/>
    </row>
    <row r="249" spans="4:10">
      <c r="J249" s="24" t="str">
        <f t="shared" ref="J249:J263" si="1">IF(H249="","",IF(H249=F249,"Pass","Fail"))</f>
        <v/>
      </c>
    </row>
    <row r="250" spans="4:10">
      <c r="J250" s="24" t="str">
        <f t="shared" si="1"/>
        <v/>
      </c>
    </row>
    <row r="251" spans="4:10">
      <c r="J251" s="24" t="str">
        <f t="shared" si="1"/>
        <v/>
      </c>
    </row>
    <row r="252" spans="4:10">
      <c r="J252" s="24" t="str">
        <f t="shared" si="1"/>
        <v/>
      </c>
    </row>
    <row r="253" spans="4:10">
      <c r="D253" s="24" t="s">
        <v>439</v>
      </c>
      <c r="J253" s="24" t="str">
        <f t="shared" si="1"/>
        <v/>
      </c>
    </row>
    <row r="254" spans="4:10">
      <c r="J254" s="24" t="str">
        <f t="shared" si="1"/>
        <v/>
      </c>
    </row>
    <row r="255" spans="4:10">
      <c r="J255" s="24" t="str">
        <f t="shared" si="1"/>
        <v/>
      </c>
    </row>
    <row r="256" spans="4:10">
      <c r="D256" s="24" t="s">
        <v>441</v>
      </c>
      <c r="J256" s="24" t="str">
        <f t="shared" si="1"/>
        <v/>
      </c>
    </row>
    <row r="257" spans="4:11">
      <c r="D257" s="24" t="s">
        <v>40</v>
      </c>
      <c r="F257" s="24" t="s">
        <v>355</v>
      </c>
      <c r="H257" s="49" t="s">
        <v>354</v>
      </c>
      <c r="J257" s="24" t="str">
        <f t="shared" si="1"/>
        <v>Pass</v>
      </c>
    </row>
    <row r="258" spans="4:11">
      <c r="D258" s="24" t="s">
        <v>442</v>
      </c>
      <c r="J258" s="24" t="str">
        <f t="shared" si="1"/>
        <v/>
      </c>
    </row>
    <row r="259" spans="4:11">
      <c r="J259" s="24" t="str">
        <f t="shared" si="1"/>
        <v/>
      </c>
    </row>
    <row r="260" spans="4:11">
      <c r="D260" s="24" t="s">
        <v>443</v>
      </c>
      <c r="J260" s="24" t="str">
        <f t="shared" si="1"/>
        <v/>
      </c>
    </row>
    <row r="261" spans="4:11">
      <c r="D261" s="24" t="s">
        <v>444</v>
      </c>
      <c r="J261" s="24" t="str">
        <f t="shared" si="1"/>
        <v/>
      </c>
    </row>
    <row r="262" spans="4:11">
      <c r="D262" s="24" t="s">
        <v>445</v>
      </c>
      <c r="J262" s="24" t="str">
        <f t="shared" si="1"/>
        <v/>
      </c>
    </row>
    <row r="263" spans="4:11">
      <c r="D263" s="24" t="s">
        <v>446</v>
      </c>
      <c r="J263" s="24" t="str">
        <f t="shared" si="1"/>
        <v/>
      </c>
    </row>
    <row r="264" spans="4:11">
      <c r="D264" s="24" t="s">
        <v>447</v>
      </c>
    </row>
    <row r="265" spans="4:11">
      <c r="D265" s="24" t="s">
        <v>448</v>
      </c>
    </row>
    <row r="266" spans="4:11">
      <c r="J266" s="24" t="str">
        <f>IF(H266="","",IF(H266=F266,"Pass","Fail"))</f>
        <v/>
      </c>
    </row>
    <row r="267" spans="4:11">
      <c r="J267" s="24" t="str">
        <f>IF(H267="","",IF(H267=F267,"Pass","Fail"))</f>
        <v/>
      </c>
    </row>
    <row r="268" spans="4:11">
      <c r="D268" s="24" t="s">
        <v>450</v>
      </c>
      <c r="G268" s="55"/>
      <c r="H268" s="51"/>
      <c r="K268" s="62" t="s">
        <v>449</v>
      </c>
    </row>
    <row r="269" spans="4:11">
      <c r="D269" s="24" t="s">
        <v>451</v>
      </c>
      <c r="G269" s="55"/>
      <c r="H269" s="51"/>
      <c r="K269" s="62"/>
    </row>
    <row r="270" spans="4:11">
      <c r="D270" s="24" t="s">
        <v>452</v>
      </c>
      <c r="G270" s="55"/>
      <c r="H270" s="51"/>
      <c r="K270" s="62"/>
    </row>
    <row r="271" spans="4:11">
      <c r="D271" s="24" t="s">
        <v>453</v>
      </c>
      <c r="G271" s="55"/>
      <c r="H271" s="51"/>
      <c r="K271" s="62"/>
    </row>
    <row r="272" spans="4:11">
      <c r="D272" s="24" t="s">
        <v>454</v>
      </c>
      <c r="G272" s="55"/>
      <c r="H272" s="51"/>
      <c r="K272" s="62"/>
    </row>
    <row r="273" spans="4:11">
      <c r="D273" s="24" t="s">
        <v>455</v>
      </c>
      <c r="G273" s="55"/>
      <c r="H273" s="51"/>
      <c r="K273" s="62"/>
    </row>
    <row r="274" spans="4:11">
      <c r="D274" s="24" t="s">
        <v>456</v>
      </c>
      <c r="G274" s="55"/>
      <c r="H274" s="51"/>
      <c r="K274" s="62"/>
    </row>
    <row r="275" spans="4:11">
      <c r="D275" s="24" t="s">
        <v>457</v>
      </c>
      <c r="G275" s="55"/>
      <c r="H275" s="51"/>
      <c r="K275" s="62"/>
    </row>
    <row r="276" spans="4:11">
      <c r="D276" s="43" t="s">
        <v>467</v>
      </c>
    </row>
    <row r="277" spans="4:11">
      <c r="D277" s="43" t="s">
        <v>468</v>
      </c>
    </row>
    <row r="278" spans="4:11">
      <c r="D278" s="43" t="s">
        <v>469</v>
      </c>
    </row>
    <row r="279" spans="4:11">
      <c r="D279" s="43" t="s">
        <v>470</v>
      </c>
    </row>
    <row r="280" spans="4:11">
      <c r="D280" s="43" t="s">
        <v>471</v>
      </c>
      <c r="G280" s="55"/>
      <c r="H280" s="51"/>
      <c r="K280" s="43" t="s">
        <v>472</v>
      </c>
    </row>
    <row r="281" spans="4:11">
      <c r="D281" s="43" t="s">
        <v>473</v>
      </c>
      <c r="G281" s="55"/>
      <c r="H281" s="51"/>
      <c r="K281" s="43" t="s">
        <v>474</v>
      </c>
    </row>
    <row r="282" spans="4:11">
      <c r="D282" s="43" t="s">
        <v>475</v>
      </c>
      <c r="G282" s="55"/>
      <c r="H282" s="51"/>
      <c r="K282" s="43" t="s">
        <v>476</v>
      </c>
    </row>
    <row r="283" spans="4:11">
      <c r="D283" s="43" t="s">
        <v>477</v>
      </c>
      <c r="G283" s="55"/>
      <c r="H283" s="51"/>
      <c r="K283" s="43" t="s">
        <v>478</v>
      </c>
    </row>
    <row r="284" spans="4:11">
      <c r="D284" s="43" t="s">
        <v>479</v>
      </c>
    </row>
    <row r="285" spans="4:11">
      <c r="D285" s="43" t="s">
        <v>480</v>
      </c>
    </row>
    <row r="286" spans="4:11">
      <c r="D286" s="43" t="s">
        <v>481</v>
      </c>
    </row>
    <row r="287" spans="4:11">
      <c r="D287" s="43" t="s">
        <v>482</v>
      </c>
    </row>
    <row r="288" spans="4:11">
      <c r="D288" s="43" t="s">
        <v>472</v>
      </c>
      <c r="G288" s="55"/>
      <c r="H288" s="51"/>
    </row>
    <row r="289" spans="4:8">
      <c r="D289" s="43" t="s">
        <v>474</v>
      </c>
      <c r="G289" s="55"/>
      <c r="H289" s="51"/>
    </row>
    <row r="290" spans="4:8">
      <c r="D290" s="43" t="s">
        <v>476</v>
      </c>
      <c r="G290" s="55"/>
      <c r="H290" s="51"/>
    </row>
    <row r="291" spans="4:8">
      <c r="D291" s="43" t="s">
        <v>478</v>
      </c>
      <c r="G291" s="55"/>
      <c r="H291" s="51"/>
    </row>
    <row r="292" spans="4:8">
      <c r="H292" s="24"/>
    </row>
    <row r="293" spans="4:8">
      <c r="H293" s="24"/>
    </row>
    <row r="294" spans="4:8">
      <c r="H294" s="24"/>
    </row>
    <row r="295" spans="4:8">
      <c r="H295" s="24"/>
    </row>
    <row r="296" spans="4:8">
      <c r="H296" s="24"/>
    </row>
    <row r="297" spans="4:8">
      <c r="H297" s="24"/>
    </row>
    <row r="298" spans="4:8">
      <c r="H298" s="24"/>
    </row>
    <row r="299" spans="4:8">
      <c r="H299" s="24"/>
    </row>
    <row r="300" spans="4:8">
      <c r="H300" s="24"/>
    </row>
    <row r="301" spans="4:8">
      <c r="H301" s="24"/>
    </row>
    <row r="302" spans="4:8">
      <c r="H302" s="24"/>
    </row>
    <row r="303" spans="4:8">
      <c r="H303" s="24"/>
    </row>
    <row r="304" spans="4:8">
      <c r="E304" s="55"/>
      <c r="H304" s="51"/>
    </row>
    <row r="305" spans="5:8">
      <c r="E305" s="55"/>
      <c r="H305" s="51"/>
    </row>
    <row r="306" spans="5:8">
      <c r="E306" s="55"/>
      <c r="G306" s="55"/>
      <c r="H306" s="51"/>
    </row>
    <row r="307" spans="5:8">
      <c r="E307" s="55"/>
      <c r="G307" s="55"/>
      <c r="H307" s="51"/>
    </row>
    <row r="308" spans="5:8">
      <c r="E308" s="55"/>
      <c r="G308" s="55"/>
      <c r="H308" s="51"/>
    </row>
    <row r="309" spans="5:8">
      <c r="E309" s="55"/>
      <c r="G309" s="55"/>
      <c r="H309" s="51"/>
    </row>
    <row r="310" spans="5:8">
      <c r="H310" s="24"/>
    </row>
    <row r="311" spans="5:8">
      <c r="H311" s="24"/>
    </row>
    <row r="312" spans="5:8">
      <c r="H312" s="24"/>
    </row>
    <row r="313" spans="5:8">
      <c r="H313" s="24"/>
    </row>
    <row r="314" spans="5:8">
      <c r="H314" s="24"/>
    </row>
    <row r="315" spans="5:8">
      <c r="H315" s="24"/>
    </row>
    <row r="316" spans="5:8">
      <c r="E316" s="55"/>
      <c r="G316" s="55"/>
      <c r="H316" s="51"/>
    </row>
    <row r="317" spans="5:8">
      <c r="E317" s="55"/>
      <c r="G317" s="55"/>
      <c r="H317" s="51"/>
    </row>
    <row r="318" spans="5:8">
      <c r="E318" s="55"/>
      <c r="G318" s="55"/>
      <c r="H318" s="51"/>
    </row>
    <row r="319" spans="5:8">
      <c r="E319" s="55"/>
      <c r="G319" s="55"/>
      <c r="H319" s="51"/>
    </row>
    <row r="320" spans="5:8">
      <c r="E320" s="55"/>
      <c r="G320" s="55"/>
      <c r="H320" s="51"/>
    </row>
    <row r="321" spans="4:8">
      <c r="E321" s="55"/>
      <c r="G321" s="55"/>
      <c r="H321" s="51"/>
    </row>
    <row r="324" spans="4:8">
      <c r="D324" s="24" t="s">
        <v>458</v>
      </c>
    </row>
    <row r="334" spans="4:8">
      <c r="D334" s="24" t="s">
        <v>353</v>
      </c>
      <c r="H334" s="51"/>
    </row>
    <row r="335" spans="4:8">
      <c r="D335" s="24" t="s">
        <v>316</v>
      </c>
      <c r="H335" s="52"/>
    </row>
    <row r="336" spans="4:8">
      <c r="D336" s="24" t="s">
        <v>349</v>
      </c>
      <c r="H336" s="43">
        <v>524288</v>
      </c>
    </row>
    <row r="337" spans="4:8">
      <c r="D337" s="24" t="s">
        <v>352</v>
      </c>
    </row>
    <row r="338" spans="4:8">
      <c r="D338" s="24" t="s">
        <v>351</v>
      </c>
    </row>
    <row r="339" spans="4:8">
      <c r="D339" s="24" t="s">
        <v>350</v>
      </c>
    </row>
    <row r="340" spans="4:8">
      <c r="G340" s="60"/>
      <c r="H340" s="50"/>
    </row>
    <row r="341" spans="4:8">
      <c r="G341" s="60"/>
      <c r="H341" s="50"/>
    </row>
    <row r="342" spans="4:8">
      <c r="G342" s="60"/>
      <c r="H342" s="50"/>
    </row>
    <row r="343" spans="4:8">
      <c r="H343" s="50"/>
    </row>
    <row r="344" spans="4:8">
      <c r="H344" s="50"/>
    </row>
    <row r="345" spans="4:8">
      <c r="H345" s="50"/>
    </row>
  </sheetData>
  <mergeCells count="18">
    <mergeCell ref="F28:K30"/>
    <mergeCell ref="L28:V30"/>
    <mergeCell ref="F31:K33"/>
    <mergeCell ref="L31:V33"/>
    <mergeCell ref="F43:K45"/>
    <mergeCell ref="L43:V45"/>
    <mergeCell ref="F34:K36"/>
    <mergeCell ref="L34:V36"/>
    <mergeCell ref="F37:K39"/>
    <mergeCell ref="L37:V39"/>
    <mergeCell ref="F40:K42"/>
    <mergeCell ref="L40:V42"/>
    <mergeCell ref="G4:U7"/>
    <mergeCell ref="E12:X17"/>
    <mergeCell ref="F22:K24"/>
    <mergeCell ref="L22:V24"/>
    <mergeCell ref="F25:K27"/>
    <mergeCell ref="L25:V27"/>
  </mergeCells>
  <phoneticPr fontId="2" type="noConversion"/>
  <printOptions horizontalCentered="1" verticalCentered="1"/>
  <pageMargins left="0.19685039370078741" right="0.19685039370078741" top="0.39370078740157483" bottom="0.39370078740157483" header="0.31496062992125984" footer="0.19685039370078741"/>
  <pageSetup paperSize="9" scale="61" fitToHeight="0" orientation="landscape" r:id="rId1"/>
  <headerFooter differentFirst="1" scaleWithDoc="0" alignWithMargins="0">
    <oddFooter>&amp;C&amp;6&amp;P/&amp;N&amp;R&amp;6Manufacturing Center v3.21.1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tabColor rgb="FFFF0000"/>
    <pageSetUpPr fitToPage="1"/>
  </sheetPr>
  <dimension ref="A1:H999"/>
  <sheetViews>
    <sheetView workbookViewId="0">
      <pane ySplit="1" topLeftCell="A813" activePane="bottomLeft" state="frozen"/>
      <selection pane="bottomLeft" activeCell="D848" sqref="D848"/>
    </sheetView>
  </sheetViews>
  <sheetFormatPr defaultRowHeight="17.399999999999999"/>
  <cols>
    <col min="1" max="1" width="7.5" bestFit="1" customWidth="1"/>
    <col min="2" max="2" width="6.5" bestFit="1" customWidth="1"/>
    <col min="3" max="3" width="11.5" customWidth="1"/>
    <col min="4" max="4" width="35.19921875" style="68" customWidth="1"/>
    <col min="5" max="5" width="81" style="8" customWidth="1"/>
    <col min="6" max="6" width="14.3984375" style="2" bestFit="1" customWidth="1"/>
    <col min="7" max="7" width="8.69921875" style="14"/>
  </cols>
  <sheetData>
    <row r="1" spans="1:6" ht="18" thickBot="1">
      <c r="A1" s="3" t="s">
        <v>184</v>
      </c>
      <c r="B1" s="3" t="s">
        <v>185</v>
      </c>
      <c r="C1" s="4" t="s">
        <v>186</v>
      </c>
      <c r="D1" s="66" t="s">
        <v>187</v>
      </c>
      <c r="E1" s="3" t="s">
        <v>188</v>
      </c>
      <c r="F1" s="91" t="s">
        <v>1009</v>
      </c>
    </row>
    <row r="2" spans="1:6" ht="18" thickBot="1">
      <c r="A2" s="16" t="s">
        <v>219</v>
      </c>
      <c r="B2" s="16" t="s">
        <v>190</v>
      </c>
      <c r="C2" s="17">
        <v>44999</v>
      </c>
      <c r="D2" s="67" t="s">
        <v>189</v>
      </c>
      <c r="E2" s="18" t="s">
        <v>220</v>
      </c>
    </row>
    <row r="3" spans="1:6">
      <c r="A3" s="5" t="s">
        <v>224</v>
      </c>
      <c r="B3" s="5" t="s">
        <v>190</v>
      </c>
      <c r="C3" s="6">
        <v>45001</v>
      </c>
      <c r="D3" s="68" t="s">
        <v>235</v>
      </c>
    </row>
    <row r="4" spans="1:6">
      <c r="A4" s="14"/>
      <c r="B4" s="14"/>
      <c r="C4" s="14"/>
      <c r="D4" s="69" t="s">
        <v>225</v>
      </c>
      <c r="E4" s="8" t="s">
        <v>229</v>
      </c>
    </row>
    <row r="5" spans="1:6">
      <c r="A5" s="14"/>
      <c r="B5" s="14"/>
      <c r="C5" s="14"/>
      <c r="E5" s="25" t="s">
        <v>228</v>
      </c>
    </row>
    <row r="6" spans="1:6">
      <c r="A6" s="14"/>
      <c r="B6" s="14"/>
      <c r="C6" s="14"/>
      <c r="E6" s="25" t="s">
        <v>226</v>
      </c>
    </row>
    <row r="7" spans="1:6">
      <c r="A7" s="14"/>
      <c r="B7" s="14"/>
      <c r="C7" s="14"/>
      <c r="E7" s="8" t="s">
        <v>227</v>
      </c>
    </row>
    <row r="8" spans="1:6">
      <c r="A8" s="14"/>
      <c r="B8" s="14"/>
      <c r="C8" s="14"/>
      <c r="D8" s="68" t="s">
        <v>236</v>
      </c>
      <c r="E8" s="25"/>
    </row>
    <row r="9" spans="1:6">
      <c r="A9" s="14"/>
      <c r="B9" s="14"/>
      <c r="C9" s="14"/>
      <c r="D9" s="69" t="s">
        <v>230</v>
      </c>
      <c r="E9" s="25" t="s">
        <v>231</v>
      </c>
    </row>
    <row r="10" spans="1:6">
      <c r="A10" s="14"/>
      <c r="B10" s="14"/>
      <c r="C10" s="14"/>
      <c r="D10" s="68" t="s">
        <v>237</v>
      </c>
    </row>
    <row r="11" spans="1:6">
      <c r="A11" s="14"/>
      <c r="B11" s="14"/>
      <c r="C11" s="14"/>
      <c r="D11" s="69" t="s">
        <v>232</v>
      </c>
      <c r="E11" s="25" t="s">
        <v>234</v>
      </c>
    </row>
    <row r="12" spans="1:6" ht="18" thickBot="1">
      <c r="A12" s="15"/>
      <c r="B12" s="15"/>
      <c r="C12" s="15"/>
      <c r="D12" s="70"/>
      <c r="E12" s="26" t="s">
        <v>233</v>
      </c>
    </row>
    <row r="13" spans="1:6">
      <c r="A13" s="5" t="s">
        <v>262</v>
      </c>
      <c r="B13" s="5" t="s">
        <v>190</v>
      </c>
      <c r="C13" s="6">
        <v>45005</v>
      </c>
      <c r="D13" s="68" t="s">
        <v>238</v>
      </c>
      <c r="E13" s="25" t="s">
        <v>263</v>
      </c>
    </row>
    <row r="14" spans="1:6">
      <c r="A14" s="14"/>
      <c r="B14" s="14"/>
      <c r="C14" s="14"/>
      <c r="E14" s="27" t="s">
        <v>239</v>
      </c>
    </row>
    <row r="15" spans="1:6">
      <c r="A15" s="14"/>
      <c r="B15" s="14"/>
      <c r="C15" s="14"/>
      <c r="E15" s="8" t="s">
        <v>240</v>
      </c>
    </row>
    <row r="16" spans="1:6">
      <c r="A16" s="14"/>
      <c r="B16" s="14"/>
      <c r="C16" s="14"/>
      <c r="E16" s="8" t="s">
        <v>278</v>
      </c>
    </row>
    <row r="17" spans="1:5">
      <c r="A17" s="14"/>
      <c r="B17" s="14"/>
      <c r="C17" s="14"/>
      <c r="D17" s="71" t="s">
        <v>246</v>
      </c>
    </row>
    <row r="18" spans="1:5">
      <c r="A18" s="14"/>
      <c r="B18" s="14"/>
      <c r="C18" s="14"/>
      <c r="D18" s="69" t="s">
        <v>256</v>
      </c>
      <c r="E18" s="8" t="s">
        <v>245</v>
      </c>
    </row>
    <row r="19" spans="1:5">
      <c r="A19" s="14"/>
      <c r="B19" s="14"/>
      <c r="D19" s="69" t="s">
        <v>247</v>
      </c>
      <c r="E19" s="8" t="s">
        <v>248</v>
      </c>
    </row>
    <row r="20" spans="1:5">
      <c r="A20" s="14"/>
      <c r="B20" s="14"/>
      <c r="C20" s="14"/>
      <c r="E20" s="8" t="s">
        <v>249</v>
      </c>
    </row>
    <row r="21" spans="1:5">
      <c r="A21" s="14"/>
      <c r="B21" s="14"/>
      <c r="C21" s="14"/>
      <c r="D21" s="69" t="s">
        <v>250</v>
      </c>
      <c r="E21" s="8" t="s">
        <v>251</v>
      </c>
    </row>
    <row r="22" spans="1:5">
      <c r="A22" s="14"/>
      <c r="B22" s="14"/>
      <c r="C22" s="14"/>
      <c r="E22" s="8" t="s">
        <v>252</v>
      </c>
    </row>
    <row r="23" spans="1:5">
      <c r="A23" s="14"/>
      <c r="B23" s="14"/>
      <c r="C23" s="14"/>
      <c r="D23" s="68" t="s">
        <v>264</v>
      </c>
    </row>
    <row r="24" spans="1:5">
      <c r="A24" s="14"/>
      <c r="B24" s="14"/>
      <c r="C24" s="14"/>
      <c r="D24" s="69" t="s">
        <v>256</v>
      </c>
      <c r="E24" s="8" t="s">
        <v>258</v>
      </c>
    </row>
    <row r="25" spans="1:5">
      <c r="A25" s="14"/>
      <c r="B25" s="14"/>
      <c r="C25" s="14"/>
      <c r="D25" s="68" t="s">
        <v>254</v>
      </c>
    </row>
    <row r="26" spans="1:5">
      <c r="A26" s="14"/>
      <c r="B26" s="14"/>
      <c r="C26" s="14"/>
      <c r="D26" s="69" t="s">
        <v>255</v>
      </c>
      <c r="E26" s="8" t="s">
        <v>241</v>
      </c>
    </row>
    <row r="27" spans="1:5">
      <c r="A27" s="14"/>
      <c r="B27" s="14"/>
      <c r="C27" s="14"/>
      <c r="D27" s="69" t="s">
        <v>256</v>
      </c>
      <c r="E27" s="8" t="s">
        <v>275</v>
      </c>
    </row>
    <row r="28" spans="1:5">
      <c r="A28" s="14"/>
      <c r="B28" s="14"/>
      <c r="C28" s="14"/>
      <c r="D28" s="72" t="s">
        <v>237</v>
      </c>
    </row>
    <row r="29" spans="1:5">
      <c r="A29" s="14"/>
      <c r="B29" s="14"/>
      <c r="C29" s="14"/>
      <c r="D29" s="69" t="s">
        <v>242</v>
      </c>
      <c r="E29" s="8" t="s">
        <v>243</v>
      </c>
    </row>
    <row r="30" spans="1:5">
      <c r="A30" s="14"/>
      <c r="B30" s="14"/>
      <c r="C30" s="14"/>
      <c r="D30" s="69"/>
      <c r="E30" s="8" t="s">
        <v>276</v>
      </c>
    </row>
    <row r="31" spans="1:5">
      <c r="A31" s="14"/>
      <c r="B31" s="14"/>
      <c r="C31" s="14"/>
      <c r="D31" s="69"/>
      <c r="E31" s="8" t="s">
        <v>277</v>
      </c>
    </row>
    <row r="32" spans="1:5">
      <c r="A32" s="14"/>
      <c r="B32" s="14"/>
      <c r="C32" s="14"/>
      <c r="D32" s="68" t="s">
        <v>253</v>
      </c>
    </row>
    <row r="33" spans="1:7">
      <c r="A33" s="14"/>
      <c r="B33" s="14"/>
      <c r="C33" s="14"/>
      <c r="D33" s="69" t="s">
        <v>247</v>
      </c>
      <c r="E33" s="8" t="s">
        <v>259</v>
      </c>
      <c r="F33" s="7"/>
      <c r="G33" s="8"/>
    </row>
    <row r="34" spans="1:7">
      <c r="A34" s="14"/>
      <c r="B34" s="14"/>
      <c r="C34" s="14"/>
      <c r="E34" s="8" t="s">
        <v>260</v>
      </c>
      <c r="F34" s="7"/>
      <c r="G34" s="8"/>
    </row>
    <row r="35" spans="1:7">
      <c r="A35" s="14"/>
      <c r="B35" s="14"/>
      <c r="C35" s="14"/>
      <c r="D35" s="69" t="s">
        <v>250</v>
      </c>
      <c r="E35" s="8" t="s">
        <v>261</v>
      </c>
    </row>
    <row r="36" spans="1:7">
      <c r="A36" s="14"/>
      <c r="B36" s="14"/>
      <c r="C36" s="14"/>
      <c r="D36" s="72" t="s">
        <v>265</v>
      </c>
    </row>
    <row r="37" spans="1:7">
      <c r="A37" s="14"/>
      <c r="B37" s="14"/>
      <c r="C37" s="14"/>
      <c r="D37" s="69" t="s">
        <v>247</v>
      </c>
      <c r="E37" s="8" t="s">
        <v>266</v>
      </c>
    </row>
    <row r="38" spans="1:7">
      <c r="A38" s="14"/>
      <c r="B38" s="14"/>
      <c r="C38" s="14"/>
      <c r="E38" s="8" t="s">
        <v>267</v>
      </c>
    </row>
    <row r="39" spans="1:7">
      <c r="A39" s="14"/>
      <c r="B39" s="14"/>
      <c r="C39" s="14"/>
      <c r="E39" s="8" t="s">
        <v>268</v>
      </c>
    </row>
    <row r="40" spans="1:7">
      <c r="A40" s="14"/>
      <c r="B40" s="14"/>
      <c r="C40" s="14"/>
      <c r="E40" s="8" t="s">
        <v>269</v>
      </c>
    </row>
    <row r="41" spans="1:7">
      <c r="A41" s="14"/>
      <c r="B41" s="14"/>
      <c r="C41" s="14"/>
      <c r="E41" s="8" t="s">
        <v>270</v>
      </c>
    </row>
    <row r="42" spans="1:7">
      <c r="A42" s="14"/>
      <c r="B42" s="14"/>
      <c r="C42" s="14"/>
      <c r="E42" s="8" t="s">
        <v>271</v>
      </c>
    </row>
    <row r="43" spans="1:7">
      <c r="A43" s="14"/>
      <c r="B43" s="14"/>
      <c r="C43" s="14"/>
      <c r="E43" s="19" t="s">
        <v>272</v>
      </c>
    </row>
    <row r="44" spans="1:7">
      <c r="A44" s="14"/>
      <c r="B44" s="14"/>
      <c r="C44" s="14"/>
      <c r="D44" s="68" t="s">
        <v>273</v>
      </c>
    </row>
    <row r="45" spans="1:7" ht="18" thickBot="1">
      <c r="A45" s="20"/>
      <c r="B45" s="20"/>
      <c r="C45" s="20"/>
      <c r="D45" s="73" t="s">
        <v>250</v>
      </c>
      <c r="E45" s="26" t="s">
        <v>274</v>
      </c>
    </row>
    <row r="46" spans="1:7">
      <c r="A46" s="5" t="s">
        <v>286</v>
      </c>
      <c r="B46" s="5" t="s">
        <v>190</v>
      </c>
      <c r="C46" s="6">
        <v>45013</v>
      </c>
      <c r="D46" s="68" t="s">
        <v>238</v>
      </c>
      <c r="E46" s="8" t="s">
        <v>307</v>
      </c>
    </row>
    <row r="47" spans="1:7">
      <c r="E47" s="8" t="s">
        <v>308</v>
      </c>
      <c r="F47" s="9"/>
    </row>
    <row r="48" spans="1:7">
      <c r="D48" s="68" t="s">
        <v>283</v>
      </c>
      <c r="F48" s="9"/>
    </row>
    <row r="49" spans="4:5">
      <c r="D49" s="69" t="s">
        <v>250</v>
      </c>
      <c r="E49" s="8" t="s">
        <v>280</v>
      </c>
    </row>
    <row r="50" spans="4:5">
      <c r="D50" s="68" t="s">
        <v>282</v>
      </c>
      <c r="E50" s="10"/>
    </row>
    <row r="51" spans="4:5">
      <c r="D51" s="69" t="s">
        <v>255</v>
      </c>
      <c r="E51" s="8" t="s">
        <v>281</v>
      </c>
    </row>
    <row r="52" spans="4:5">
      <c r="D52" s="68" t="s">
        <v>285</v>
      </c>
    </row>
    <row r="53" spans="4:5">
      <c r="D53" s="69" t="s">
        <v>247</v>
      </c>
      <c r="E53" s="8" t="s">
        <v>284</v>
      </c>
    </row>
    <row r="54" spans="4:5">
      <c r="D54" s="72" t="s">
        <v>237</v>
      </c>
    </row>
    <row r="55" spans="4:5">
      <c r="D55" s="69" t="s">
        <v>288</v>
      </c>
      <c r="E55" s="8" t="s">
        <v>287</v>
      </c>
    </row>
    <row r="56" spans="4:5">
      <c r="D56" s="69" t="s">
        <v>290</v>
      </c>
      <c r="E56" s="8" t="s">
        <v>304</v>
      </c>
    </row>
    <row r="57" spans="4:5">
      <c r="D57" s="69" t="s">
        <v>290</v>
      </c>
      <c r="E57" s="8" t="s">
        <v>294</v>
      </c>
    </row>
    <row r="58" spans="4:5">
      <c r="D58" s="68" t="s">
        <v>291</v>
      </c>
    </row>
    <row r="59" spans="4:5">
      <c r="D59" s="69" t="s">
        <v>250</v>
      </c>
      <c r="E59" s="8" t="s">
        <v>292</v>
      </c>
    </row>
    <row r="60" spans="4:5">
      <c r="D60" s="68" t="s">
        <v>265</v>
      </c>
    </row>
    <row r="61" spans="4:5">
      <c r="D61" s="69" t="s">
        <v>290</v>
      </c>
      <c r="E61" s="8" t="s">
        <v>295</v>
      </c>
    </row>
    <row r="62" spans="4:5">
      <c r="D62" s="68" t="s">
        <v>244</v>
      </c>
    </row>
    <row r="63" spans="4:5">
      <c r="D63" s="69" t="s">
        <v>288</v>
      </c>
      <c r="E63" s="8" t="s">
        <v>303</v>
      </c>
    </row>
    <row r="64" spans="4:5">
      <c r="D64" s="68" t="s">
        <v>254</v>
      </c>
    </row>
    <row r="65" spans="1:5">
      <c r="D65" s="69" t="s">
        <v>256</v>
      </c>
      <c r="E65" s="8" t="s">
        <v>299</v>
      </c>
    </row>
    <row r="66" spans="1:5">
      <c r="D66" s="68" t="s">
        <v>300</v>
      </c>
    </row>
    <row r="67" spans="1:5">
      <c r="D67" s="69" t="s">
        <v>302</v>
      </c>
      <c r="E67" s="8" t="s">
        <v>301</v>
      </c>
    </row>
    <row r="68" spans="1:5">
      <c r="D68" s="68" t="s">
        <v>291</v>
      </c>
    </row>
    <row r="69" spans="1:5" ht="18" thickBot="1">
      <c r="A69" s="20"/>
      <c r="B69" s="20"/>
      <c r="C69" s="20"/>
      <c r="D69" s="73" t="s">
        <v>305</v>
      </c>
      <c r="E69" s="26" t="s">
        <v>306</v>
      </c>
    </row>
    <row r="70" spans="1:5">
      <c r="A70" s="5" t="s">
        <v>311</v>
      </c>
      <c r="B70" s="5" t="s">
        <v>190</v>
      </c>
      <c r="C70" s="6">
        <v>45033</v>
      </c>
      <c r="D70" s="68" t="s">
        <v>81</v>
      </c>
    </row>
    <row r="71" spans="1:5">
      <c r="D71" s="69" t="s">
        <v>313</v>
      </c>
      <c r="E71" s="19" t="s">
        <v>312</v>
      </c>
    </row>
    <row r="72" spans="1:5">
      <c r="D72" s="69" t="s">
        <v>330</v>
      </c>
      <c r="E72" s="23" t="s">
        <v>329</v>
      </c>
    </row>
    <row r="73" spans="1:5">
      <c r="D73" s="68" t="s">
        <v>101</v>
      </c>
      <c r="E73" s="28"/>
    </row>
    <row r="74" spans="1:5">
      <c r="D74" s="69" t="s">
        <v>331</v>
      </c>
      <c r="E74" s="23" t="s">
        <v>314</v>
      </c>
    </row>
    <row r="75" spans="1:5">
      <c r="D75" s="68" t="s">
        <v>315</v>
      </c>
    </row>
    <row r="76" spans="1:5">
      <c r="D76" s="69" t="s">
        <v>332</v>
      </c>
      <c r="E76" s="21" t="s">
        <v>333</v>
      </c>
    </row>
    <row r="77" spans="1:5">
      <c r="E77" s="21" t="s">
        <v>334</v>
      </c>
    </row>
    <row r="78" spans="1:5">
      <c r="E78" s="21" t="s">
        <v>335</v>
      </c>
    </row>
    <row r="79" spans="1:5">
      <c r="E79" s="21" t="s">
        <v>336</v>
      </c>
    </row>
    <row r="80" spans="1:5">
      <c r="E80" s="21" t="s">
        <v>337</v>
      </c>
    </row>
    <row r="81" spans="1:5">
      <c r="E81" s="21" t="s">
        <v>338</v>
      </c>
    </row>
    <row r="82" spans="1:5">
      <c r="E82" s="21" t="s">
        <v>339</v>
      </c>
    </row>
    <row r="83" spans="1:5">
      <c r="E83" s="21" t="s">
        <v>340</v>
      </c>
    </row>
    <row r="84" spans="1:5">
      <c r="E84" s="21" t="s">
        <v>341</v>
      </c>
    </row>
    <row r="85" spans="1:5">
      <c r="E85" s="21" t="s">
        <v>342</v>
      </c>
    </row>
    <row r="86" spans="1:5">
      <c r="E86" s="21" t="s">
        <v>343</v>
      </c>
    </row>
    <row r="87" spans="1:5" ht="18" thickBot="1">
      <c r="A87" s="20"/>
      <c r="B87" s="20"/>
      <c r="C87" s="20"/>
      <c r="D87" s="70"/>
      <c r="E87" s="63" t="s">
        <v>344</v>
      </c>
    </row>
    <row r="88" spans="1:5">
      <c r="A88" s="5" t="s">
        <v>525</v>
      </c>
      <c r="B88" s="5" t="s">
        <v>190</v>
      </c>
      <c r="C88" s="6">
        <v>45054</v>
      </c>
      <c r="D88" s="68" t="s">
        <v>238</v>
      </c>
      <c r="E88" s="8" t="s">
        <v>278</v>
      </c>
    </row>
    <row r="89" spans="1:5">
      <c r="E89" s="8" t="s">
        <v>526</v>
      </c>
    </row>
    <row r="90" spans="1:5">
      <c r="E90" s="8" t="s">
        <v>544</v>
      </c>
    </row>
    <row r="91" spans="1:5">
      <c r="D91" s="68" t="s">
        <v>465</v>
      </c>
      <c r="E91" s="8" t="s">
        <v>527</v>
      </c>
    </row>
    <row r="92" spans="1:5">
      <c r="D92" s="68" t="s">
        <v>237</v>
      </c>
    </row>
    <row r="93" spans="1:5">
      <c r="D93" s="69" t="s">
        <v>250</v>
      </c>
      <c r="E93" s="25" t="s">
        <v>529</v>
      </c>
    </row>
    <row r="94" spans="1:5">
      <c r="D94" s="69" t="s">
        <v>530</v>
      </c>
      <c r="E94" s="8" t="s">
        <v>531</v>
      </c>
    </row>
    <row r="95" spans="1:5">
      <c r="D95" s="69" t="s">
        <v>565</v>
      </c>
      <c r="E95" s="8" t="s">
        <v>566</v>
      </c>
    </row>
    <row r="96" spans="1:5">
      <c r="D96" s="74" t="s">
        <v>543</v>
      </c>
      <c r="E96" s="8" t="s">
        <v>532</v>
      </c>
    </row>
    <row r="97" spans="4:5">
      <c r="D97" s="69" t="s">
        <v>542</v>
      </c>
      <c r="E97" s="64" t="s">
        <v>533</v>
      </c>
    </row>
    <row r="98" spans="4:5">
      <c r="E98" s="64" t="s">
        <v>534</v>
      </c>
    </row>
    <row r="99" spans="4:5">
      <c r="E99" s="64" t="s">
        <v>535</v>
      </c>
    </row>
    <row r="100" spans="4:5">
      <c r="E100" s="64" t="s">
        <v>536</v>
      </c>
    </row>
    <row r="101" spans="4:5">
      <c r="E101" s="64" t="s">
        <v>537</v>
      </c>
    </row>
    <row r="102" spans="4:5">
      <c r="E102" s="64" t="s">
        <v>538</v>
      </c>
    </row>
    <row r="103" spans="4:5">
      <c r="E103" s="64" t="s">
        <v>539</v>
      </c>
    </row>
    <row r="104" spans="4:5">
      <c r="E104" s="64" t="s">
        <v>540</v>
      </c>
    </row>
    <row r="105" spans="4:5">
      <c r="E105" s="29" t="s">
        <v>541</v>
      </c>
    </row>
    <row r="107" spans="4:5">
      <c r="D107" s="69" t="s">
        <v>542</v>
      </c>
      <c r="E107" s="64" t="s">
        <v>564</v>
      </c>
    </row>
    <row r="108" spans="4:5">
      <c r="E108" s="27" t="s">
        <v>563</v>
      </c>
    </row>
    <row r="109" spans="4:5">
      <c r="D109" s="71" t="s">
        <v>560</v>
      </c>
    </row>
    <row r="110" spans="4:5">
      <c r="D110" s="69" t="s">
        <v>547</v>
      </c>
      <c r="E110" s="8" t="s">
        <v>548</v>
      </c>
    </row>
    <row r="111" spans="4:5">
      <c r="D111" s="68" t="s">
        <v>13</v>
      </c>
    </row>
    <row r="112" spans="4:5">
      <c r="D112" s="69" t="s">
        <v>250</v>
      </c>
      <c r="E112" s="8" t="s">
        <v>549</v>
      </c>
    </row>
    <row r="113" spans="1:8">
      <c r="D113" s="68" t="s">
        <v>559</v>
      </c>
      <c r="E113" s="8" t="s">
        <v>561</v>
      </c>
    </row>
    <row r="114" spans="1:8" ht="18" thickBot="1">
      <c r="A114" s="20"/>
      <c r="B114" s="20"/>
      <c r="C114" s="20"/>
      <c r="D114" s="70"/>
      <c r="E114" s="26" t="s">
        <v>562</v>
      </c>
    </row>
    <row r="115" spans="1:8">
      <c r="A115" s="5" t="s">
        <v>569</v>
      </c>
      <c r="B115" s="5" t="s">
        <v>190</v>
      </c>
      <c r="C115" s="6">
        <v>45061</v>
      </c>
      <c r="D115" s="68" t="s">
        <v>570</v>
      </c>
      <c r="E115" s="8" t="s">
        <v>571</v>
      </c>
    </row>
    <row r="116" spans="1:8">
      <c r="D116" s="68" t="s">
        <v>81</v>
      </c>
      <c r="E116" s="8" t="s">
        <v>584</v>
      </c>
    </row>
    <row r="117" spans="1:8">
      <c r="D117" s="69" t="s">
        <v>247</v>
      </c>
      <c r="E117" s="65" t="s">
        <v>587</v>
      </c>
      <c r="H117" s="65"/>
    </row>
    <row r="118" spans="1:8">
      <c r="D118" s="69" t="s">
        <v>250</v>
      </c>
      <c r="E118" s="75" t="s">
        <v>585</v>
      </c>
    </row>
    <row r="119" spans="1:8">
      <c r="D119" s="68" t="s">
        <v>237</v>
      </c>
      <c r="E119" s="8" t="s">
        <v>589</v>
      </c>
    </row>
    <row r="120" spans="1:8">
      <c r="D120" s="69" t="s">
        <v>250</v>
      </c>
      <c r="E120" s="8" t="s">
        <v>590</v>
      </c>
    </row>
    <row r="121" spans="1:8">
      <c r="D121" s="68" t="s">
        <v>572</v>
      </c>
      <c r="E121" s="8" t="s">
        <v>573</v>
      </c>
    </row>
    <row r="122" spans="1:8">
      <c r="E122" s="8" t="s">
        <v>581</v>
      </c>
    </row>
    <row r="123" spans="1:8">
      <c r="D123" s="68" t="s">
        <v>580</v>
      </c>
    </row>
    <row r="124" spans="1:8">
      <c r="D124" s="69" t="s">
        <v>250</v>
      </c>
      <c r="E124" s="8" t="s">
        <v>578</v>
      </c>
    </row>
    <row r="125" spans="1:8">
      <c r="E125" s="8" t="s">
        <v>579</v>
      </c>
    </row>
    <row r="126" spans="1:8">
      <c r="D126" s="71" t="s">
        <v>598</v>
      </c>
    </row>
    <row r="127" spans="1:8" ht="18" thickBot="1">
      <c r="A127" s="20"/>
      <c r="B127" s="20"/>
      <c r="C127" s="20"/>
      <c r="D127" s="73" t="s">
        <v>250</v>
      </c>
      <c r="E127" s="26" t="s">
        <v>597</v>
      </c>
    </row>
    <row r="128" spans="1:8">
      <c r="A128" s="5" t="s">
        <v>600</v>
      </c>
      <c r="B128" s="5" t="s">
        <v>190</v>
      </c>
      <c r="C128" s="6">
        <v>45077</v>
      </c>
      <c r="D128" s="68" t="s">
        <v>238</v>
      </c>
    </row>
    <row r="129" spans="1:5">
      <c r="D129" s="69" t="s">
        <v>613</v>
      </c>
      <c r="E129" s="8" t="s">
        <v>612</v>
      </c>
    </row>
    <row r="130" spans="1:5">
      <c r="D130" s="68" t="s">
        <v>601</v>
      </c>
      <c r="E130" s="76"/>
    </row>
    <row r="131" spans="1:5">
      <c r="D131" s="69" t="s">
        <v>247</v>
      </c>
      <c r="E131" s="75" t="s">
        <v>605</v>
      </c>
    </row>
    <row r="132" spans="1:5">
      <c r="D132" s="68" t="s">
        <v>81</v>
      </c>
      <c r="E132" s="76"/>
    </row>
    <row r="133" spans="1:5">
      <c r="D133" s="69" t="s">
        <v>603</v>
      </c>
      <c r="E133" s="76" t="s">
        <v>604</v>
      </c>
    </row>
    <row r="134" spans="1:5">
      <c r="D134" s="69" t="s">
        <v>290</v>
      </c>
      <c r="E134" s="76" t="s">
        <v>618</v>
      </c>
    </row>
    <row r="135" spans="1:5">
      <c r="D135" s="68" t="s">
        <v>607</v>
      </c>
      <c r="E135" s="76"/>
    </row>
    <row r="136" spans="1:5">
      <c r="D136" s="69" t="s">
        <v>250</v>
      </c>
      <c r="E136" s="76" t="s">
        <v>609</v>
      </c>
    </row>
    <row r="137" spans="1:5">
      <c r="D137" s="69" t="s">
        <v>614</v>
      </c>
      <c r="E137" s="76" t="s">
        <v>615</v>
      </c>
    </row>
    <row r="138" spans="1:5">
      <c r="D138" s="68" t="s">
        <v>59</v>
      </c>
      <c r="E138" s="76"/>
    </row>
    <row r="139" spans="1:5">
      <c r="D139" s="69" t="s">
        <v>288</v>
      </c>
      <c r="E139" s="76" t="s">
        <v>608</v>
      </c>
    </row>
    <row r="140" spans="1:5">
      <c r="D140" s="68" t="s">
        <v>49</v>
      </c>
      <c r="E140" s="76"/>
    </row>
    <row r="141" spans="1:5">
      <c r="D141" s="69" t="s">
        <v>250</v>
      </c>
      <c r="E141" s="76" t="s">
        <v>610</v>
      </c>
    </row>
    <row r="142" spans="1:5">
      <c r="D142" s="68" t="s">
        <v>611</v>
      </c>
    </row>
    <row r="143" spans="1:5" ht="18" thickBot="1">
      <c r="A143" s="20"/>
      <c r="B143" s="20"/>
      <c r="C143" s="20"/>
      <c r="D143" s="73" t="s">
        <v>305</v>
      </c>
      <c r="E143" s="26" t="s">
        <v>616</v>
      </c>
    </row>
    <row r="144" spans="1:5">
      <c r="A144" s="5" t="s">
        <v>621</v>
      </c>
      <c r="B144" s="5" t="s">
        <v>190</v>
      </c>
      <c r="C144" s="6">
        <v>45086</v>
      </c>
      <c r="D144" s="68" t="s">
        <v>611</v>
      </c>
    </row>
    <row r="145" spans="4:5">
      <c r="D145" s="69" t="s">
        <v>290</v>
      </c>
      <c r="E145" s="8" t="s">
        <v>622</v>
      </c>
    </row>
    <row r="146" spans="4:5">
      <c r="D146" s="68" t="s">
        <v>237</v>
      </c>
    </row>
    <row r="147" spans="4:5">
      <c r="D147" s="69" t="s">
        <v>250</v>
      </c>
      <c r="E147" s="77" t="s">
        <v>623</v>
      </c>
    </row>
    <row r="148" spans="4:5">
      <c r="D148" s="68" t="s">
        <v>96</v>
      </c>
    </row>
    <row r="149" spans="4:5">
      <c r="D149" s="69" t="s">
        <v>250</v>
      </c>
      <c r="E149" s="78" t="s">
        <v>624</v>
      </c>
    </row>
    <row r="150" spans="4:5">
      <c r="D150" s="68" t="s">
        <v>101</v>
      </c>
    </row>
    <row r="151" spans="4:5">
      <c r="D151" s="69" t="s">
        <v>250</v>
      </c>
      <c r="E151" s="8" t="s">
        <v>628</v>
      </c>
    </row>
    <row r="152" spans="4:5">
      <c r="D152" s="68" t="s">
        <v>629</v>
      </c>
    </row>
    <row r="153" spans="4:5">
      <c r="D153" s="69" t="s">
        <v>250</v>
      </c>
      <c r="E153" s="8" t="s">
        <v>630</v>
      </c>
    </row>
    <row r="154" spans="4:5">
      <c r="D154" s="68" t="s">
        <v>81</v>
      </c>
    </row>
    <row r="155" spans="4:5">
      <c r="D155" s="69" t="s">
        <v>247</v>
      </c>
      <c r="E155" s="8" t="s">
        <v>631</v>
      </c>
    </row>
    <row r="156" spans="4:5">
      <c r="E156" s="8" t="s">
        <v>633</v>
      </c>
    </row>
    <row r="157" spans="4:5">
      <c r="E157" s="8" t="s">
        <v>635</v>
      </c>
    </row>
    <row r="158" spans="4:5">
      <c r="E158" s="8" t="s">
        <v>637</v>
      </c>
    </row>
    <row r="159" spans="4:5">
      <c r="E159" s="8" t="s">
        <v>639</v>
      </c>
    </row>
    <row r="160" spans="4:5">
      <c r="E160" s="8" t="s">
        <v>641</v>
      </c>
    </row>
    <row r="161" spans="1:5">
      <c r="D161" s="79" t="s">
        <v>72</v>
      </c>
    </row>
    <row r="162" spans="1:5">
      <c r="D162" s="69" t="s">
        <v>290</v>
      </c>
      <c r="E162" s="8" t="s">
        <v>643</v>
      </c>
    </row>
    <row r="163" spans="1:5">
      <c r="D163" s="69" t="s">
        <v>250</v>
      </c>
      <c r="E163" s="8" t="s">
        <v>644</v>
      </c>
    </row>
    <row r="164" spans="1:5">
      <c r="D164" s="68" t="s">
        <v>211</v>
      </c>
    </row>
    <row r="165" spans="1:5">
      <c r="D165" s="69" t="s">
        <v>250</v>
      </c>
      <c r="E165" s="8" t="s">
        <v>645</v>
      </c>
    </row>
    <row r="166" spans="1:5">
      <c r="D166" s="68" t="s">
        <v>646</v>
      </c>
    </row>
    <row r="167" spans="1:5">
      <c r="D167" s="69" t="s">
        <v>250</v>
      </c>
      <c r="E167" s="8" t="s">
        <v>647</v>
      </c>
    </row>
    <row r="168" spans="1:5">
      <c r="D168" s="68" t="s">
        <v>648</v>
      </c>
    </row>
    <row r="169" spans="1:5">
      <c r="D169" s="69" t="s">
        <v>650</v>
      </c>
      <c r="E169" s="8" t="s">
        <v>649</v>
      </c>
    </row>
    <row r="170" spans="1:5">
      <c r="D170" s="68" t="s">
        <v>651</v>
      </c>
    </row>
    <row r="171" spans="1:5" ht="18" thickBot="1">
      <c r="A171" s="20"/>
      <c r="B171" s="20"/>
      <c r="C171" s="20"/>
      <c r="D171" s="73" t="s">
        <v>250</v>
      </c>
      <c r="E171" s="26" t="s">
        <v>652</v>
      </c>
    </row>
    <row r="172" spans="1:5">
      <c r="A172" s="5" t="s">
        <v>667</v>
      </c>
      <c r="B172" s="5" t="s">
        <v>190</v>
      </c>
      <c r="C172" s="81">
        <v>45099</v>
      </c>
      <c r="D172" s="68" t="s">
        <v>59</v>
      </c>
    </row>
    <row r="173" spans="1:5">
      <c r="D173" s="69" t="s">
        <v>650</v>
      </c>
      <c r="E173" s="8" t="s">
        <v>664</v>
      </c>
    </row>
    <row r="174" spans="1:5">
      <c r="D174" s="68" t="s">
        <v>237</v>
      </c>
    </row>
    <row r="175" spans="1:5">
      <c r="D175" s="69" t="s">
        <v>654</v>
      </c>
      <c r="E175" s="77" t="s">
        <v>658</v>
      </c>
    </row>
    <row r="176" spans="1:5">
      <c r="D176" s="69" t="s">
        <v>290</v>
      </c>
      <c r="E176" s="77" t="s">
        <v>668</v>
      </c>
    </row>
    <row r="177" spans="1:5">
      <c r="D177" s="68" t="s">
        <v>656</v>
      </c>
    </row>
    <row r="178" spans="1:5">
      <c r="D178" s="69" t="s">
        <v>247</v>
      </c>
      <c r="E178" s="8" t="s">
        <v>655</v>
      </c>
    </row>
    <row r="179" spans="1:5">
      <c r="D179" s="68" t="s">
        <v>656</v>
      </c>
    </row>
    <row r="180" spans="1:5">
      <c r="D180" s="69" t="s">
        <v>614</v>
      </c>
      <c r="E180" s="8" t="s">
        <v>657</v>
      </c>
    </row>
    <row r="181" spans="1:5">
      <c r="D181" s="68" t="s">
        <v>660</v>
      </c>
    </row>
    <row r="182" spans="1:5">
      <c r="D182" s="69" t="s">
        <v>305</v>
      </c>
      <c r="E182" s="8" t="s">
        <v>659</v>
      </c>
    </row>
    <row r="183" spans="1:5">
      <c r="D183" s="80" t="s">
        <v>661</v>
      </c>
    </row>
    <row r="184" spans="1:5">
      <c r="D184" s="69" t="s">
        <v>290</v>
      </c>
      <c r="E184" s="8" t="s">
        <v>663</v>
      </c>
    </row>
    <row r="185" spans="1:5">
      <c r="D185" s="69"/>
      <c r="E185" s="8" t="s">
        <v>662</v>
      </c>
    </row>
    <row r="186" spans="1:5">
      <c r="D186" s="68" t="s">
        <v>595</v>
      </c>
    </row>
    <row r="187" spans="1:5" ht="18" thickBot="1">
      <c r="A187" s="20"/>
      <c r="B187" s="20"/>
      <c r="C187" s="20"/>
      <c r="D187" s="73" t="s">
        <v>305</v>
      </c>
      <c r="E187" s="26" t="s">
        <v>672</v>
      </c>
    </row>
    <row r="188" spans="1:5">
      <c r="A188" s="5" t="s">
        <v>673</v>
      </c>
      <c r="B188" s="5" t="s">
        <v>190</v>
      </c>
      <c r="C188" s="81">
        <v>45133</v>
      </c>
      <c r="D188" s="68" t="s">
        <v>691</v>
      </c>
    </row>
    <row r="189" spans="1:5">
      <c r="D189" s="69" t="s">
        <v>305</v>
      </c>
      <c r="E189" s="8" t="s">
        <v>674</v>
      </c>
    </row>
    <row r="190" spans="1:5">
      <c r="E190" s="8" t="s">
        <v>675</v>
      </c>
    </row>
    <row r="191" spans="1:5">
      <c r="D191" s="68" t="s">
        <v>164</v>
      </c>
    </row>
    <row r="192" spans="1:5">
      <c r="D192" s="69" t="s">
        <v>247</v>
      </c>
      <c r="E192" s="8" t="s">
        <v>676</v>
      </c>
    </row>
    <row r="193" spans="1:5">
      <c r="E193" s="8" t="s">
        <v>677</v>
      </c>
    </row>
    <row r="194" spans="1:5">
      <c r="D194" s="68" t="s">
        <v>59</v>
      </c>
    </row>
    <row r="195" spans="1:5">
      <c r="D195" s="69" t="s">
        <v>247</v>
      </c>
      <c r="E195" s="8" t="s">
        <v>680</v>
      </c>
    </row>
    <row r="196" spans="1:5">
      <c r="D196" s="68" t="s">
        <v>161</v>
      </c>
    </row>
    <row r="197" spans="1:5">
      <c r="D197" s="69" t="s">
        <v>247</v>
      </c>
      <c r="E197" s="8" t="s">
        <v>681</v>
      </c>
    </row>
    <row r="198" spans="1:5">
      <c r="E198" s="8" t="s">
        <v>682</v>
      </c>
    </row>
    <row r="199" spans="1:5">
      <c r="D199" s="68" t="s">
        <v>69</v>
      </c>
    </row>
    <row r="200" spans="1:5">
      <c r="D200" s="69" t="s">
        <v>250</v>
      </c>
      <c r="E200" s="8" t="s">
        <v>683</v>
      </c>
    </row>
    <row r="201" spans="1:5">
      <c r="D201" s="68" t="s">
        <v>685</v>
      </c>
    </row>
    <row r="202" spans="1:5">
      <c r="D202" s="69" t="s">
        <v>305</v>
      </c>
      <c r="E202" s="8" t="s">
        <v>686</v>
      </c>
    </row>
    <row r="203" spans="1:5">
      <c r="D203" s="68" t="s">
        <v>238</v>
      </c>
    </row>
    <row r="204" spans="1:5" ht="18" thickBot="1">
      <c r="A204" s="20"/>
      <c r="B204" s="20"/>
      <c r="C204" s="20"/>
      <c r="D204" s="73" t="s">
        <v>613</v>
      </c>
      <c r="E204" s="26" t="s">
        <v>688</v>
      </c>
    </row>
    <row r="205" spans="1:5">
      <c r="A205" s="5" t="s">
        <v>692</v>
      </c>
      <c r="B205" s="5" t="s">
        <v>190</v>
      </c>
      <c r="C205" s="81">
        <v>45148</v>
      </c>
      <c r="D205" s="68" t="s">
        <v>174</v>
      </c>
    </row>
    <row r="206" spans="1:5">
      <c r="D206" s="69" t="s">
        <v>250</v>
      </c>
      <c r="E206" s="8" t="s">
        <v>694</v>
      </c>
    </row>
    <row r="207" spans="1:5">
      <c r="D207" s="22" t="s">
        <v>66</v>
      </c>
    </row>
    <row r="208" spans="1:5">
      <c r="D208" s="69" t="s">
        <v>250</v>
      </c>
      <c r="E208" s="8" t="s">
        <v>695</v>
      </c>
    </row>
    <row r="209" spans="1:5">
      <c r="D209" s="68" t="s">
        <v>698</v>
      </c>
    </row>
    <row r="210" spans="1:5">
      <c r="D210" s="69" t="s">
        <v>696</v>
      </c>
      <c r="E210" s="8" t="s">
        <v>697</v>
      </c>
    </row>
    <row r="211" spans="1:5">
      <c r="E211" s="8" t="s">
        <v>700</v>
      </c>
    </row>
    <row r="212" spans="1:5">
      <c r="E212" s="8" t="s">
        <v>699</v>
      </c>
    </row>
    <row r="213" spans="1:5">
      <c r="E213" s="8" t="s">
        <v>701</v>
      </c>
    </row>
    <row r="214" spans="1:5">
      <c r="D214" s="68" t="s">
        <v>703</v>
      </c>
    </row>
    <row r="215" spans="1:5">
      <c r="D215" s="69" t="s">
        <v>654</v>
      </c>
      <c r="E215" s="8" t="s">
        <v>704</v>
      </c>
    </row>
    <row r="216" spans="1:5">
      <c r="D216" s="22" t="s">
        <v>193</v>
      </c>
    </row>
    <row r="217" spans="1:5">
      <c r="D217" s="69" t="s">
        <v>290</v>
      </c>
      <c r="E217" s="8" t="s">
        <v>707</v>
      </c>
    </row>
    <row r="218" spans="1:5">
      <c r="D218" s="22" t="s">
        <v>709</v>
      </c>
    </row>
    <row r="219" spans="1:5">
      <c r="D219" s="69" t="s">
        <v>305</v>
      </c>
      <c r="E219" s="8" t="s">
        <v>710</v>
      </c>
    </row>
    <row r="220" spans="1:5" ht="18" thickBot="1">
      <c r="A220" s="20"/>
      <c r="B220" s="20"/>
      <c r="C220" s="20"/>
      <c r="D220" s="70"/>
      <c r="E220" s="26" t="s">
        <v>721</v>
      </c>
    </row>
    <row r="221" spans="1:5">
      <c r="A221" s="5" t="s">
        <v>718</v>
      </c>
      <c r="B221" s="5" t="s">
        <v>190</v>
      </c>
      <c r="C221" s="81">
        <v>45170</v>
      </c>
      <c r="D221" s="68" t="s">
        <v>70</v>
      </c>
    </row>
    <row r="222" spans="1:5">
      <c r="D222" s="69" t="s">
        <v>719</v>
      </c>
      <c r="E222" s="8" t="s">
        <v>720</v>
      </c>
    </row>
    <row r="223" spans="1:5">
      <c r="D223" s="69" t="s">
        <v>719</v>
      </c>
      <c r="E223" s="8" t="s">
        <v>733</v>
      </c>
    </row>
    <row r="224" spans="1:5">
      <c r="D224" s="68" t="s">
        <v>722</v>
      </c>
    </row>
    <row r="225" spans="1:6">
      <c r="D225" s="69" t="s">
        <v>723</v>
      </c>
      <c r="E225" s="19" t="s">
        <v>731</v>
      </c>
    </row>
    <row r="226" spans="1:6">
      <c r="D226" s="68" t="s">
        <v>96</v>
      </c>
    </row>
    <row r="227" spans="1:6">
      <c r="D227" s="69" t="s">
        <v>250</v>
      </c>
      <c r="E227" s="8" t="s">
        <v>724</v>
      </c>
    </row>
    <row r="228" spans="1:6">
      <c r="D228" s="68" t="s">
        <v>726</v>
      </c>
    </row>
    <row r="229" spans="1:6">
      <c r="D229" s="69" t="s">
        <v>719</v>
      </c>
      <c r="E229" s="8" t="s">
        <v>730</v>
      </c>
    </row>
    <row r="230" spans="1:6" ht="18" thickBot="1">
      <c r="A230" s="20"/>
      <c r="B230" s="20"/>
      <c r="C230" s="20"/>
      <c r="D230" s="70"/>
      <c r="E230" s="26" t="s">
        <v>725</v>
      </c>
    </row>
    <row r="231" spans="1:6">
      <c r="A231" s="5" t="s">
        <v>738</v>
      </c>
      <c r="B231" t="s">
        <v>190</v>
      </c>
      <c r="C231" s="81">
        <v>45215</v>
      </c>
      <c r="D231" s="68" t="s">
        <v>211</v>
      </c>
    </row>
    <row r="232" spans="1:6">
      <c r="D232" s="69" t="s">
        <v>247</v>
      </c>
      <c r="E232" s="8" t="s">
        <v>779</v>
      </c>
    </row>
    <row r="233" spans="1:6">
      <c r="D233" s="68" t="s">
        <v>59</v>
      </c>
    </row>
    <row r="234" spans="1:6">
      <c r="D234" s="69" t="s">
        <v>247</v>
      </c>
      <c r="E234" s="8" t="s">
        <v>758</v>
      </c>
    </row>
    <row r="235" spans="1:6">
      <c r="D235" s="68" t="s">
        <v>768</v>
      </c>
    </row>
    <row r="236" spans="1:6">
      <c r="D236" s="69" t="s">
        <v>247</v>
      </c>
      <c r="E236" s="8" t="s">
        <v>770</v>
      </c>
    </row>
    <row r="237" spans="1:6">
      <c r="E237" s="8" t="s">
        <v>769</v>
      </c>
    </row>
    <row r="238" spans="1:6">
      <c r="E238" s="8" t="s">
        <v>765</v>
      </c>
    </row>
    <row r="239" spans="1:6">
      <c r="E239" s="8" t="s">
        <v>766</v>
      </c>
    </row>
    <row r="240" spans="1:6">
      <c r="E240" s="8" t="s">
        <v>767</v>
      </c>
      <c r="F240" s="21"/>
    </row>
    <row r="241" spans="4:6">
      <c r="E241" s="8" t="s">
        <v>783</v>
      </c>
      <c r="F241" s="8"/>
    </row>
    <row r="242" spans="4:6">
      <c r="E242" s="8" t="s">
        <v>784</v>
      </c>
      <c r="F242" s="8"/>
    </row>
    <row r="243" spans="4:6">
      <c r="E243" s="8" t="s">
        <v>785</v>
      </c>
      <c r="F243" s="8"/>
    </row>
    <row r="244" spans="4:6">
      <c r="E244" s="8" t="s">
        <v>782</v>
      </c>
      <c r="F244" s="8"/>
    </row>
    <row r="245" spans="4:6">
      <c r="D245" s="68" t="s">
        <v>805</v>
      </c>
      <c r="E245" s="8" t="s">
        <v>795</v>
      </c>
    </row>
    <row r="246" spans="4:6">
      <c r="D246" s="69" t="s">
        <v>763</v>
      </c>
      <c r="E246" s="8" t="s">
        <v>862</v>
      </c>
    </row>
    <row r="247" spans="4:6">
      <c r="D247" s="69" t="s">
        <v>863</v>
      </c>
      <c r="E247" s="8" t="s">
        <v>777</v>
      </c>
    </row>
    <row r="248" spans="4:6">
      <c r="D248" s="68" t="s">
        <v>81</v>
      </c>
    </row>
    <row r="249" spans="4:6">
      <c r="D249" s="69" t="s">
        <v>763</v>
      </c>
      <c r="E249" s="8" t="s">
        <v>861</v>
      </c>
    </row>
    <row r="250" spans="4:6">
      <c r="D250" s="69" t="s">
        <v>719</v>
      </c>
      <c r="E250" s="8" t="s">
        <v>787</v>
      </c>
    </row>
    <row r="251" spans="4:6">
      <c r="E251" s="8" t="s">
        <v>791</v>
      </c>
    </row>
    <row r="252" spans="4:6">
      <c r="E252" s="8" t="s">
        <v>789</v>
      </c>
    </row>
    <row r="253" spans="4:6">
      <c r="E253" s="8" t="s">
        <v>792</v>
      </c>
    </row>
    <row r="254" spans="4:6">
      <c r="D254" s="68" t="s">
        <v>799</v>
      </c>
    </row>
    <row r="255" spans="4:6">
      <c r="D255" s="69" t="s">
        <v>756</v>
      </c>
      <c r="E255" s="76" t="s">
        <v>853</v>
      </c>
    </row>
    <row r="256" spans="4:6">
      <c r="D256" s="68" t="s">
        <v>101</v>
      </c>
    </row>
    <row r="257" spans="4:5">
      <c r="D257" s="69" t="s">
        <v>756</v>
      </c>
      <c r="E257" s="82" t="s">
        <v>757</v>
      </c>
    </row>
    <row r="258" spans="4:5">
      <c r="D258" s="72" t="s">
        <v>17</v>
      </c>
      <c r="E258" s="76" t="s">
        <v>878</v>
      </c>
    </row>
    <row r="259" spans="4:5">
      <c r="D259" s="69" t="s">
        <v>763</v>
      </c>
      <c r="E259" s="8" t="s">
        <v>854</v>
      </c>
    </row>
    <row r="260" spans="4:5">
      <c r="D260" s="68" t="s">
        <v>596</v>
      </c>
    </row>
    <row r="261" spans="4:5">
      <c r="D261" s="69" t="s">
        <v>763</v>
      </c>
      <c r="E261" s="8" t="s">
        <v>764</v>
      </c>
    </row>
    <row r="262" spans="4:5">
      <c r="D262" s="68" t="s">
        <v>751</v>
      </c>
    </row>
    <row r="263" spans="4:5">
      <c r="D263" s="69" t="s">
        <v>752</v>
      </c>
      <c r="E263" s="8" t="s">
        <v>750</v>
      </c>
    </row>
    <row r="264" spans="4:5">
      <c r="D264" s="68" t="s">
        <v>17</v>
      </c>
    </row>
    <row r="265" spans="4:5">
      <c r="D265" s="69" t="s">
        <v>763</v>
      </c>
      <c r="E265" s="8" t="s">
        <v>803</v>
      </c>
    </row>
    <row r="266" spans="4:5">
      <c r="D266" s="69" t="s">
        <v>719</v>
      </c>
      <c r="E266" s="8" t="s">
        <v>860</v>
      </c>
    </row>
    <row r="267" spans="4:5">
      <c r="D267" s="68" t="s">
        <v>794</v>
      </c>
      <c r="E267" s="8" t="s">
        <v>795</v>
      </c>
    </row>
    <row r="268" spans="4:5">
      <c r="D268" s="69" t="s">
        <v>719</v>
      </c>
      <c r="E268" s="8" t="s">
        <v>739</v>
      </c>
    </row>
    <row r="269" spans="4:5">
      <c r="E269" s="8" t="s">
        <v>740</v>
      </c>
    </row>
    <row r="270" spans="4:5">
      <c r="E270" s="8" t="s">
        <v>741</v>
      </c>
    </row>
    <row r="271" spans="4:5">
      <c r="E271" s="19" t="s">
        <v>735</v>
      </c>
    </row>
    <row r="272" spans="4:5">
      <c r="D272" s="68" t="s">
        <v>169</v>
      </c>
    </row>
    <row r="273" spans="4:5">
      <c r="D273" s="69" t="s">
        <v>719</v>
      </c>
      <c r="E273" s="8" t="s">
        <v>742</v>
      </c>
    </row>
    <row r="274" spans="4:5">
      <c r="E274" s="8" t="s">
        <v>745</v>
      </c>
    </row>
    <row r="275" spans="4:5">
      <c r="E275" s="8" t="s">
        <v>772</v>
      </c>
    </row>
    <row r="276" spans="4:5">
      <c r="E276" s="8" t="s">
        <v>771</v>
      </c>
    </row>
    <row r="277" spans="4:5">
      <c r="E277" s="8" t="s">
        <v>774</v>
      </c>
    </row>
    <row r="278" spans="4:5">
      <c r="D278" s="68" t="s">
        <v>69</v>
      </c>
    </row>
    <row r="279" spans="4:5">
      <c r="D279" s="69" t="s">
        <v>719</v>
      </c>
      <c r="E279" s="76" t="s">
        <v>780</v>
      </c>
    </row>
    <row r="280" spans="4:5">
      <c r="D280" s="68" t="s">
        <v>76</v>
      </c>
    </row>
    <row r="281" spans="4:5">
      <c r="D281" s="69" t="s">
        <v>719</v>
      </c>
      <c r="E281" s="19" t="s">
        <v>855</v>
      </c>
    </row>
    <row r="282" spans="4:5">
      <c r="D282" s="69"/>
      <c r="E282" s="19" t="s">
        <v>858</v>
      </c>
    </row>
    <row r="283" spans="4:5">
      <c r="D283" s="68" t="s">
        <v>161</v>
      </c>
    </row>
    <row r="284" spans="4:5">
      <c r="D284" s="69" t="s">
        <v>719</v>
      </c>
      <c r="E284" s="8" t="s">
        <v>850</v>
      </c>
    </row>
    <row r="285" spans="4:5">
      <c r="D285" s="69"/>
      <c r="E285" s="8" t="s">
        <v>852</v>
      </c>
    </row>
    <row r="286" spans="4:5">
      <c r="D286" s="72" t="s">
        <v>849</v>
      </c>
    </row>
    <row r="287" spans="4:5">
      <c r="D287" s="69" t="s">
        <v>719</v>
      </c>
      <c r="E287" s="8" t="s">
        <v>851</v>
      </c>
    </row>
    <row r="288" spans="4:5">
      <c r="D288" s="68" t="s">
        <v>807</v>
      </c>
      <c r="E288" s="8" t="s">
        <v>795</v>
      </c>
    </row>
    <row r="289" spans="1:5" ht="18" thickBot="1">
      <c r="A289" s="20"/>
      <c r="B289" s="20"/>
      <c r="C289" s="20"/>
      <c r="D289" s="70"/>
      <c r="E289" s="26" t="s">
        <v>808</v>
      </c>
    </row>
    <row r="290" spans="1:5">
      <c r="A290" s="5" t="s">
        <v>879</v>
      </c>
      <c r="B290" t="s">
        <v>190</v>
      </c>
      <c r="C290" s="81">
        <v>45272</v>
      </c>
      <c r="D290" s="85" t="s">
        <v>914</v>
      </c>
    </row>
    <row r="291" spans="1:5">
      <c r="D291" s="85" t="s">
        <v>876</v>
      </c>
    </row>
    <row r="292" spans="1:5">
      <c r="D292" s="79" t="s">
        <v>872</v>
      </c>
    </row>
    <row r="293" spans="1:5">
      <c r="D293" s="69" t="s">
        <v>763</v>
      </c>
      <c r="E293" s="76" t="s">
        <v>873</v>
      </c>
    </row>
    <row r="294" spans="1:5">
      <c r="D294" s="22" t="s">
        <v>66</v>
      </c>
      <c r="E294" s="76"/>
    </row>
    <row r="295" spans="1:5">
      <c r="D295" s="69" t="s">
        <v>877</v>
      </c>
      <c r="E295" s="76" t="s">
        <v>874</v>
      </c>
    </row>
    <row r="296" spans="1:5">
      <c r="E296" s="76" t="s">
        <v>875</v>
      </c>
    </row>
    <row r="297" spans="1:5">
      <c r="D297" s="68" t="s">
        <v>880</v>
      </c>
    </row>
    <row r="298" spans="1:5">
      <c r="D298" s="69" t="s">
        <v>719</v>
      </c>
      <c r="E298" s="8" t="s">
        <v>881</v>
      </c>
    </row>
    <row r="299" spans="1:5">
      <c r="E299" s="8" t="s">
        <v>882</v>
      </c>
    </row>
    <row r="300" spans="1:5">
      <c r="E300" s="8" t="s">
        <v>883</v>
      </c>
    </row>
    <row r="301" spans="1:5">
      <c r="E301" s="8" t="s">
        <v>884</v>
      </c>
    </row>
    <row r="302" spans="1:5">
      <c r="E302" s="8" t="s">
        <v>885</v>
      </c>
    </row>
    <row r="303" spans="1:5">
      <c r="D303" s="68" t="s">
        <v>212</v>
      </c>
    </row>
    <row r="304" spans="1:5">
      <c r="D304" s="69" t="s">
        <v>719</v>
      </c>
      <c r="E304" s="8" t="s">
        <v>881</v>
      </c>
    </row>
    <row r="305" spans="4:7">
      <c r="E305" s="8" t="s">
        <v>882</v>
      </c>
    </row>
    <row r="306" spans="4:7">
      <c r="E306" s="8" t="s">
        <v>883</v>
      </c>
    </row>
    <row r="307" spans="4:7">
      <c r="E307" s="8" t="s">
        <v>884</v>
      </c>
    </row>
    <row r="308" spans="4:7">
      <c r="D308" s="68" t="s">
        <v>595</v>
      </c>
    </row>
    <row r="309" spans="4:7">
      <c r="D309" s="69" t="s">
        <v>719</v>
      </c>
      <c r="E309" s="8" t="s">
        <v>890</v>
      </c>
    </row>
    <row r="310" spans="4:7">
      <c r="D310" s="68" t="s">
        <v>164</v>
      </c>
    </row>
    <row r="311" spans="4:7">
      <c r="D311" s="69" t="s">
        <v>763</v>
      </c>
      <c r="E311" s="8" t="s">
        <v>920</v>
      </c>
    </row>
    <row r="312" spans="4:7">
      <c r="D312" s="68" t="s">
        <v>887</v>
      </c>
    </row>
    <row r="313" spans="4:7">
      <c r="D313" s="69" t="s">
        <v>719</v>
      </c>
      <c r="E313" s="8" t="s">
        <v>886</v>
      </c>
      <c r="G313" s="14" t="s">
        <v>891</v>
      </c>
    </row>
    <row r="314" spans="4:7">
      <c r="D314" s="68" t="s">
        <v>661</v>
      </c>
    </row>
    <row r="315" spans="4:7">
      <c r="D315" s="69" t="s">
        <v>719</v>
      </c>
      <c r="E315" s="8" t="s">
        <v>892</v>
      </c>
    </row>
    <row r="316" spans="4:7">
      <c r="D316" s="68" t="s">
        <v>893</v>
      </c>
    </row>
    <row r="317" spans="4:7">
      <c r="D317" s="69" t="s">
        <v>877</v>
      </c>
      <c r="E317" s="8" t="s">
        <v>894</v>
      </c>
    </row>
    <row r="318" spans="4:7">
      <c r="D318" s="68" t="s">
        <v>580</v>
      </c>
    </row>
    <row r="319" spans="4:7">
      <c r="D319" s="69" t="s">
        <v>247</v>
      </c>
      <c r="E319" s="8" t="s">
        <v>895</v>
      </c>
    </row>
    <row r="320" spans="4:7">
      <c r="D320" s="68" t="s">
        <v>81</v>
      </c>
    </row>
    <row r="321" spans="1:7">
      <c r="D321" s="69" t="s">
        <v>290</v>
      </c>
      <c r="E321" s="8" t="s">
        <v>900</v>
      </c>
    </row>
    <row r="322" spans="1:7">
      <c r="E322" s="8" t="s">
        <v>899</v>
      </c>
    </row>
    <row r="323" spans="1:7">
      <c r="D323" s="68" t="s">
        <v>909</v>
      </c>
    </row>
    <row r="324" spans="1:7">
      <c r="D324" s="69" t="s">
        <v>719</v>
      </c>
      <c r="E324" s="8" t="s">
        <v>921</v>
      </c>
    </row>
    <row r="325" spans="1:7">
      <c r="D325" s="68" t="s">
        <v>580</v>
      </c>
    </row>
    <row r="326" spans="1:7">
      <c r="D326" s="84" t="s">
        <v>911</v>
      </c>
      <c r="E326" s="86" t="s">
        <v>913</v>
      </c>
      <c r="G326" s="14" t="s">
        <v>912</v>
      </c>
    </row>
    <row r="327" spans="1:7">
      <c r="D327" s="68" t="s">
        <v>919</v>
      </c>
    </row>
    <row r="328" spans="1:7">
      <c r="D328" s="69" t="s">
        <v>719</v>
      </c>
      <c r="E328" s="21" t="s">
        <v>916</v>
      </c>
    </row>
    <row r="329" spans="1:7">
      <c r="E329" s="21" t="s">
        <v>918</v>
      </c>
    </row>
    <row r="330" spans="1:7" ht="18" thickBot="1">
      <c r="A330" s="20"/>
      <c r="B330" s="20"/>
      <c r="C330" s="20"/>
      <c r="D330" s="73"/>
      <c r="E330" s="26"/>
    </row>
    <row r="331" spans="1:7">
      <c r="A331" s="5" t="s">
        <v>922</v>
      </c>
      <c r="B331" t="s">
        <v>190</v>
      </c>
      <c r="C331" s="81">
        <v>45321</v>
      </c>
      <c r="D331" s="85" t="s">
        <v>914</v>
      </c>
    </row>
    <row r="332" spans="1:7">
      <c r="D332" s="85" t="s">
        <v>876</v>
      </c>
    </row>
    <row r="333" spans="1:7" ht="18" customHeight="1">
      <c r="D333" s="68" t="s">
        <v>946</v>
      </c>
    </row>
    <row r="334" spans="1:7">
      <c r="D334" s="69" t="s">
        <v>719</v>
      </c>
      <c r="E334" s="64" t="s">
        <v>990</v>
      </c>
      <c r="G334" s="14" t="s">
        <v>991</v>
      </c>
    </row>
    <row r="335" spans="1:7">
      <c r="D335" s="68" t="s">
        <v>924</v>
      </c>
    </row>
    <row r="336" spans="1:7">
      <c r="D336" s="69" t="s">
        <v>763</v>
      </c>
      <c r="E336" s="83" t="s">
        <v>925</v>
      </c>
      <c r="G336" s="14" t="s">
        <v>926</v>
      </c>
    </row>
    <row r="337" spans="1:7">
      <c r="D337" s="68" t="s">
        <v>5</v>
      </c>
    </row>
    <row r="338" spans="1:7">
      <c r="D338" s="69" t="s">
        <v>929</v>
      </c>
      <c r="E338" s="8" t="s">
        <v>930</v>
      </c>
    </row>
    <row r="339" spans="1:7">
      <c r="D339" s="69" t="s">
        <v>943</v>
      </c>
      <c r="E339" s="8" t="s">
        <v>944</v>
      </c>
    </row>
    <row r="340" spans="1:7">
      <c r="D340" s="68" t="s">
        <v>942</v>
      </c>
    </row>
    <row r="341" spans="1:7">
      <c r="D341" s="69" t="s">
        <v>763</v>
      </c>
      <c r="E341" s="83" t="s">
        <v>941</v>
      </c>
    </row>
    <row r="342" spans="1:7">
      <c r="D342" s="68" t="s">
        <v>174</v>
      </c>
    </row>
    <row r="343" spans="1:7">
      <c r="D343" s="69" t="s">
        <v>763</v>
      </c>
      <c r="E343" s="83" t="s">
        <v>939</v>
      </c>
    </row>
    <row r="344" spans="1:7">
      <c r="D344" s="69" t="s">
        <v>719</v>
      </c>
      <c r="E344" s="83" t="s">
        <v>940</v>
      </c>
    </row>
    <row r="345" spans="1:7">
      <c r="D345" s="68" t="s">
        <v>238</v>
      </c>
    </row>
    <row r="346" spans="1:7">
      <c r="D346" s="69" t="s">
        <v>932</v>
      </c>
      <c r="E346" s="83" t="s">
        <v>933</v>
      </c>
    </row>
    <row r="347" spans="1:7">
      <c r="D347" s="69" t="s">
        <v>982</v>
      </c>
      <c r="E347" s="83" t="s">
        <v>989</v>
      </c>
      <c r="G347" s="7"/>
    </row>
    <row r="348" spans="1:7">
      <c r="D348" s="68" t="s">
        <v>937</v>
      </c>
    </row>
    <row r="349" spans="1:7">
      <c r="D349" s="69" t="s">
        <v>763</v>
      </c>
      <c r="E349" s="83" t="s">
        <v>938</v>
      </c>
      <c r="G349" s="14" t="s">
        <v>986</v>
      </c>
    </row>
    <row r="350" spans="1:7">
      <c r="D350" s="68" t="s">
        <v>984</v>
      </c>
    </row>
    <row r="351" spans="1:7" ht="18" thickBot="1">
      <c r="A351" s="20"/>
      <c r="B351" s="20"/>
      <c r="C351" s="20"/>
      <c r="D351" s="73" t="s">
        <v>763</v>
      </c>
      <c r="E351" s="89" t="s">
        <v>985</v>
      </c>
    </row>
    <row r="352" spans="1:7">
      <c r="A352" s="87" t="s">
        <v>994</v>
      </c>
      <c r="B352" s="87" t="s">
        <v>995</v>
      </c>
      <c r="C352" s="88">
        <v>45348</v>
      </c>
      <c r="D352" s="85" t="s">
        <v>914</v>
      </c>
    </row>
    <row r="353" spans="1:7">
      <c r="A353" s="87"/>
      <c r="B353" s="87"/>
      <c r="C353" s="88"/>
      <c r="D353" s="85" t="s">
        <v>876</v>
      </c>
    </row>
    <row r="354" spans="1:7">
      <c r="A354" s="87"/>
      <c r="B354" s="87"/>
      <c r="C354" s="88"/>
      <c r="D354" s="68" t="s">
        <v>238</v>
      </c>
      <c r="E354" s="76" t="s">
        <v>996</v>
      </c>
    </row>
    <row r="355" spans="1:7">
      <c r="E355" s="76" t="s">
        <v>1003</v>
      </c>
    </row>
    <row r="356" spans="1:7">
      <c r="D356" s="68" t="s">
        <v>998</v>
      </c>
    </row>
    <row r="357" spans="1:7">
      <c r="D357" s="69" t="s">
        <v>997</v>
      </c>
      <c r="E357" s="83" t="s">
        <v>999</v>
      </c>
      <c r="G357" s="14" t="s">
        <v>1000</v>
      </c>
    </row>
    <row r="358" spans="1:7" ht="18" thickBot="1">
      <c r="A358" s="20"/>
      <c r="B358" s="20"/>
      <c r="C358" s="20"/>
      <c r="D358" s="73" t="s">
        <v>1001</v>
      </c>
      <c r="E358" s="89" t="s">
        <v>1002</v>
      </c>
    </row>
    <row r="359" spans="1:7">
      <c r="A359" s="87" t="s">
        <v>1004</v>
      </c>
      <c r="B359" s="87" t="s">
        <v>190</v>
      </c>
      <c r="C359" s="88">
        <v>45380</v>
      </c>
      <c r="D359" s="85" t="s">
        <v>914</v>
      </c>
    </row>
    <row r="360" spans="1:7">
      <c r="D360" s="85" t="s">
        <v>876</v>
      </c>
    </row>
    <row r="361" spans="1:7">
      <c r="C361" s="81"/>
      <c r="D361" s="68" t="s">
        <v>164</v>
      </c>
    </row>
    <row r="362" spans="1:7">
      <c r="D362" s="69" t="s">
        <v>763</v>
      </c>
      <c r="E362" s="92" t="s">
        <v>1052</v>
      </c>
    </row>
    <row r="363" spans="1:7">
      <c r="C363" s="90"/>
      <c r="D363" s="69"/>
      <c r="E363" s="83" t="s">
        <v>1005</v>
      </c>
      <c r="F363" s="2" t="s">
        <v>1053</v>
      </c>
    </row>
    <row r="364" spans="1:7">
      <c r="C364" s="90"/>
      <c r="D364" s="72" t="s">
        <v>152</v>
      </c>
    </row>
    <row r="365" spans="1:7">
      <c r="C365" s="1"/>
      <c r="D365" s="69" t="s">
        <v>305</v>
      </c>
      <c r="E365" s="2" t="s">
        <v>1013</v>
      </c>
      <c r="F365" s="2" t="s">
        <v>1011</v>
      </c>
      <c r="G365" s="14" t="s">
        <v>1014</v>
      </c>
    </row>
    <row r="366" spans="1:7">
      <c r="C366" s="1"/>
      <c r="D366" s="68" t="s">
        <v>169</v>
      </c>
    </row>
    <row r="367" spans="1:7">
      <c r="C367" s="1"/>
      <c r="D367" s="69" t="s">
        <v>305</v>
      </c>
      <c r="E367" s="8" t="s">
        <v>1006</v>
      </c>
    </row>
    <row r="368" spans="1:7">
      <c r="C368" s="1"/>
      <c r="D368" s="68" t="s">
        <v>1015</v>
      </c>
    </row>
    <row r="369" spans="3:7">
      <c r="C369" s="1"/>
      <c r="D369" s="69" t="s">
        <v>305</v>
      </c>
      <c r="E369" s="83" t="s">
        <v>1007</v>
      </c>
      <c r="F369" s="2" t="s">
        <v>1010</v>
      </c>
      <c r="G369" s="14" t="s">
        <v>1008</v>
      </c>
    </row>
    <row r="370" spans="3:7">
      <c r="C370" s="1"/>
      <c r="D370" s="72" t="s">
        <v>96</v>
      </c>
    </row>
    <row r="371" spans="3:7">
      <c r="C371" s="1"/>
      <c r="D371" s="69" t="s">
        <v>305</v>
      </c>
      <c r="E371" s="93" t="s">
        <v>1079</v>
      </c>
      <c r="F371" s="2" t="s">
        <v>1050</v>
      </c>
      <c r="G371" s="14" t="s">
        <v>1051</v>
      </c>
    </row>
    <row r="372" spans="3:7">
      <c r="C372" s="1"/>
      <c r="D372" s="69"/>
      <c r="E372" s="93" t="s">
        <v>1080</v>
      </c>
    </row>
    <row r="373" spans="3:7">
      <c r="C373" s="1"/>
      <c r="D373" s="68" t="s">
        <v>1030</v>
      </c>
    </row>
    <row r="374" spans="3:7">
      <c r="C374" s="1"/>
      <c r="D374" s="69" t="s">
        <v>1001</v>
      </c>
      <c r="E374" s="8" t="s">
        <v>1033</v>
      </c>
    </row>
    <row r="375" spans="3:7">
      <c r="C375" s="1"/>
      <c r="E375" s="8" t="s">
        <v>1031</v>
      </c>
    </row>
    <row r="376" spans="3:7">
      <c r="C376" s="1"/>
      <c r="E376" s="8" t="s">
        <v>1032</v>
      </c>
    </row>
    <row r="377" spans="3:7">
      <c r="C377" s="1"/>
      <c r="D377" s="68" t="s">
        <v>1034</v>
      </c>
    </row>
    <row r="378" spans="3:7">
      <c r="C378" s="1"/>
      <c r="D378" s="69" t="s">
        <v>305</v>
      </c>
      <c r="E378" s="8" t="s">
        <v>1016</v>
      </c>
      <c r="G378" s="2"/>
    </row>
    <row r="379" spans="3:7">
      <c r="C379" s="1"/>
      <c r="E379" s="8" t="s">
        <v>1017</v>
      </c>
      <c r="G379" s="2"/>
    </row>
    <row r="380" spans="3:7">
      <c r="C380" s="1"/>
      <c r="D380" s="69" t="s">
        <v>1035</v>
      </c>
      <c r="E380" s="8" t="s">
        <v>1036</v>
      </c>
    </row>
    <row r="381" spans="3:7">
      <c r="C381" s="1"/>
      <c r="E381" s="8" t="s">
        <v>1020</v>
      </c>
    </row>
    <row r="382" spans="3:7">
      <c r="C382" s="1"/>
      <c r="E382" s="8" t="s">
        <v>1021</v>
      </c>
    </row>
    <row r="383" spans="3:7">
      <c r="C383" s="1"/>
      <c r="E383" s="8" t="s">
        <v>1022</v>
      </c>
    </row>
    <row r="384" spans="3:7">
      <c r="C384" s="1"/>
      <c r="E384" s="8" t="s">
        <v>1023</v>
      </c>
    </row>
    <row r="385" spans="3:7">
      <c r="C385" s="1"/>
      <c r="E385" s="8" t="s">
        <v>1024</v>
      </c>
    </row>
    <row r="386" spans="3:7">
      <c r="C386" s="1"/>
      <c r="E386" s="8" t="s">
        <v>1025</v>
      </c>
    </row>
    <row r="387" spans="3:7">
      <c r="C387" s="1"/>
      <c r="E387" s="8" t="s">
        <v>1019</v>
      </c>
    </row>
    <row r="388" spans="3:7">
      <c r="C388" s="1"/>
      <c r="E388" s="8" t="s">
        <v>1018</v>
      </c>
    </row>
    <row r="389" spans="3:7">
      <c r="C389" s="1"/>
      <c r="E389" s="8" t="s">
        <v>1026</v>
      </c>
    </row>
    <row r="390" spans="3:7">
      <c r="C390" s="1"/>
      <c r="E390" s="8" t="s">
        <v>1027</v>
      </c>
    </row>
    <row r="391" spans="3:7">
      <c r="C391" s="1"/>
      <c r="E391" s="8" t="s">
        <v>1028</v>
      </c>
    </row>
    <row r="392" spans="3:7">
      <c r="C392" s="1"/>
      <c r="E392" s="8" t="s">
        <v>1029</v>
      </c>
    </row>
    <row r="393" spans="3:7">
      <c r="C393" s="1"/>
      <c r="D393" s="68" t="s">
        <v>1047</v>
      </c>
      <c r="E393" s="8" t="s">
        <v>1049</v>
      </c>
      <c r="G393" s="14" t="s">
        <v>1046</v>
      </c>
    </row>
    <row r="394" spans="3:7">
      <c r="C394" s="1"/>
      <c r="D394" s="69" t="s">
        <v>1048</v>
      </c>
      <c r="E394" s="83" t="s">
        <v>1039</v>
      </c>
    </row>
    <row r="395" spans="3:7">
      <c r="C395" s="1"/>
      <c r="E395" s="83" t="s">
        <v>1040</v>
      </c>
    </row>
    <row r="396" spans="3:7">
      <c r="C396" s="1"/>
      <c r="E396" s="83" t="s">
        <v>1042</v>
      </c>
    </row>
    <row r="397" spans="3:7">
      <c r="C397" s="1"/>
      <c r="E397" s="83" t="s">
        <v>1044</v>
      </c>
    </row>
    <row r="398" spans="3:7">
      <c r="C398" s="1"/>
      <c r="D398" s="68" t="s">
        <v>1054</v>
      </c>
      <c r="E398" s="8" t="s">
        <v>1055</v>
      </c>
    </row>
    <row r="399" spans="3:7">
      <c r="C399" s="1"/>
      <c r="E399" s="8" t="s">
        <v>1037</v>
      </c>
    </row>
    <row r="400" spans="3:7">
      <c r="E400" s="8" t="s">
        <v>1038</v>
      </c>
    </row>
    <row r="401" spans="5:5">
      <c r="E401" s="8" t="s">
        <v>1056</v>
      </c>
    </row>
    <row r="402" spans="5:5">
      <c r="E402" s="8" t="s">
        <v>1057</v>
      </c>
    </row>
    <row r="403" spans="5:5">
      <c r="E403" s="8" t="s">
        <v>1058</v>
      </c>
    </row>
    <row r="404" spans="5:5">
      <c r="E404" s="8" t="s">
        <v>1059</v>
      </c>
    </row>
    <row r="405" spans="5:5">
      <c r="E405" s="8" t="s">
        <v>1060</v>
      </c>
    </row>
    <row r="406" spans="5:5">
      <c r="E406" s="8" t="s">
        <v>1061</v>
      </c>
    </row>
    <row r="407" spans="5:5">
      <c r="E407" s="8" t="s">
        <v>1062</v>
      </c>
    </row>
    <row r="408" spans="5:5">
      <c r="E408" s="8" t="s">
        <v>1063</v>
      </c>
    </row>
    <row r="409" spans="5:5">
      <c r="E409" s="8" t="s">
        <v>1064</v>
      </c>
    </row>
    <row r="410" spans="5:5">
      <c r="E410" s="8" t="s">
        <v>1065</v>
      </c>
    </row>
    <row r="411" spans="5:5">
      <c r="E411" s="8" t="s">
        <v>1066</v>
      </c>
    </row>
    <row r="412" spans="5:5">
      <c r="E412" s="8" t="s">
        <v>1067</v>
      </c>
    </row>
    <row r="413" spans="5:5">
      <c r="E413" s="8" t="s">
        <v>1068</v>
      </c>
    </row>
    <row r="414" spans="5:5">
      <c r="E414" s="8" t="s">
        <v>1069</v>
      </c>
    </row>
    <row r="415" spans="5:5">
      <c r="E415" s="8" t="s">
        <v>1070</v>
      </c>
    </row>
    <row r="416" spans="5:5">
      <c r="E416" s="8" t="s">
        <v>1071</v>
      </c>
    </row>
    <row r="417" spans="1:7">
      <c r="E417" s="8" t="s">
        <v>1072</v>
      </c>
    </row>
    <row r="418" spans="1:7">
      <c r="E418" s="8" t="s">
        <v>1073</v>
      </c>
    </row>
    <row r="419" spans="1:7">
      <c r="E419" s="8" t="s">
        <v>1074</v>
      </c>
    </row>
    <row r="420" spans="1:7">
      <c r="D420" s="68" t="s">
        <v>169</v>
      </c>
    </row>
    <row r="421" spans="1:7">
      <c r="D421" s="69" t="s">
        <v>305</v>
      </c>
      <c r="E421" s="83" t="s">
        <v>1077</v>
      </c>
      <c r="F421" s="2" t="s">
        <v>1075</v>
      </c>
      <c r="G421" s="14" t="s">
        <v>1014</v>
      </c>
    </row>
    <row r="422" spans="1:7">
      <c r="C422" s="94">
        <v>45387</v>
      </c>
      <c r="D422" s="68" t="s">
        <v>1088</v>
      </c>
      <c r="E422" s="8" t="s">
        <v>1090</v>
      </c>
    </row>
    <row r="423" spans="1:7">
      <c r="D423" s="69" t="s">
        <v>1089</v>
      </c>
      <c r="E423" s="8" t="s">
        <v>977</v>
      </c>
    </row>
    <row r="424" spans="1:7" ht="18" thickBot="1">
      <c r="A424" s="20"/>
      <c r="B424" s="20"/>
      <c r="C424" s="20"/>
      <c r="D424" s="70"/>
      <c r="E424" s="26" t="s">
        <v>978</v>
      </c>
    </row>
    <row r="425" spans="1:7">
      <c r="A425" s="87" t="s">
        <v>1092</v>
      </c>
      <c r="B425" s="87" t="s">
        <v>190</v>
      </c>
      <c r="C425" s="88">
        <v>45443</v>
      </c>
      <c r="D425" s="85" t="s">
        <v>914</v>
      </c>
    </row>
    <row r="426" spans="1:7">
      <c r="D426" s="85" t="s">
        <v>876</v>
      </c>
    </row>
    <row r="427" spans="1:7">
      <c r="D427" s="68" t="s">
        <v>1093</v>
      </c>
    </row>
    <row r="428" spans="1:7">
      <c r="D428" s="69" t="s">
        <v>997</v>
      </c>
      <c r="E428" s="83" t="s">
        <v>1116</v>
      </c>
      <c r="F428" s="2" t="s">
        <v>1094</v>
      </c>
      <c r="G428" s="14" t="s">
        <v>1095</v>
      </c>
    </row>
    <row r="429" spans="1:7">
      <c r="D429" s="68" t="s">
        <v>1096</v>
      </c>
    </row>
    <row r="430" spans="1:7">
      <c r="D430" s="69" t="s">
        <v>305</v>
      </c>
      <c r="E430" s="8" t="s">
        <v>1056</v>
      </c>
      <c r="F430" s="2" t="s">
        <v>1133</v>
      </c>
    </row>
    <row r="431" spans="1:7">
      <c r="D431" s="69"/>
      <c r="E431" s="8" t="s">
        <v>1128</v>
      </c>
    </row>
    <row r="432" spans="1:7">
      <c r="E432" s="8" t="s">
        <v>1072</v>
      </c>
    </row>
    <row r="433" spans="4:6">
      <c r="E433" s="8" t="s">
        <v>1073</v>
      </c>
    </row>
    <row r="434" spans="4:6">
      <c r="E434" s="8" t="s">
        <v>1074</v>
      </c>
    </row>
    <row r="435" spans="4:6">
      <c r="D435" s="68" t="s">
        <v>1112</v>
      </c>
    </row>
    <row r="436" spans="4:6">
      <c r="D436" s="69" t="s">
        <v>305</v>
      </c>
      <c r="E436" s="8" t="s">
        <v>1097</v>
      </c>
      <c r="F436" s="2" t="s">
        <v>1115</v>
      </c>
    </row>
    <row r="437" spans="4:6">
      <c r="E437" s="8" t="s">
        <v>1098</v>
      </c>
    </row>
    <row r="438" spans="4:6">
      <c r="E438" s="8" t="s">
        <v>1113</v>
      </c>
    </row>
    <row r="439" spans="4:6">
      <c r="E439" s="8" t="s">
        <v>1114</v>
      </c>
    </row>
    <row r="440" spans="4:6">
      <c r="E440" s="8" t="s">
        <v>1099</v>
      </c>
    </row>
    <row r="441" spans="4:6">
      <c r="E441" s="8" t="s">
        <v>1100</v>
      </c>
    </row>
    <row r="442" spans="4:6">
      <c r="E442" s="8" t="s">
        <v>1101</v>
      </c>
    </row>
    <row r="443" spans="4:6">
      <c r="E443" s="8" t="s">
        <v>1102</v>
      </c>
    </row>
    <row r="444" spans="4:6">
      <c r="E444" s="8" t="s">
        <v>1137</v>
      </c>
    </row>
    <row r="445" spans="4:6">
      <c r="E445" s="8" t="s">
        <v>1103</v>
      </c>
    </row>
    <row r="446" spans="4:6">
      <c r="E446" s="8" t="s">
        <v>1104</v>
      </c>
    </row>
    <row r="447" spans="4:6">
      <c r="E447" s="8" t="s">
        <v>1105</v>
      </c>
    </row>
    <row r="448" spans="4:6">
      <c r="E448" s="8" t="s">
        <v>1106</v>
      </c>
    </row>
    <row r="449" spans="1:7">
      <c r="D449" s="68" t="s">
        <v>76</v>
      </c>
    </row>
    <row r="450" spans="1:7">
      <c r="D450" s="69" t="s">
        <v>305</v>
      </c>
      <c r="E450" s="8" t="s">
        <v>1136</v>
      </c>
    </row>
    <row r="451" spans="1:7">
      <c r="D451" s="68" t="s">
        <v>59</v>
      </c>
      <c r="F451" s="2" t="s">
        <v>1122</v>
      </c>
    </row>
    <row r="452" spans="1:7">
      <c r="D452" s="69" t="s">
        <v>1120</v>
      </c>
      <c r="E452" s="8" t="s">
        <v>1119</v>
      </c>
    </row>
    <row r="453" spans="1:7">
      <c r="D453" s="69" t="s">
        <v>305</v>
      </c>
      <c r="E453" s="8" t="s">
        <v>1121</v>
      </c>
    </row>
    <row r="454" spans="1:7">
      <c r="E454" s="8" t="s">
        <v>1118</v>
      </c>
    </row>
    <row r="455" spans="1:7">
      <c r="F455" s="95"/>
    </row>
    <row r="456" spans="1:7">
      <c r="D456" s="68" t="s">
        <v>66</v>
      </c>
      <c r="E456" s="96"/>
      <c r="F456" s="95"/>
    </row>
    <row r="457" spans="1:7">
      <c r="D457" s="69" t="s">
        <v>997</v>
      </c>
      <c r="E457" s="8" t="s">
        <v>1125</v>
      </c>
      <c r="F457" s="19" t="s">
        <v>1124</v>
      </c>
    </row>
    <row r="458" spans="1:7">
      <c r="E458" s="8" t="s">
        <v>1126</v>
      </c>
      <c r="F458" s="95"/>
    </row>
    <row r="459" spans="1:7">
      <c r="D459" s="68" t="s">
        <v>1123</v>
      </c>
      <c r="F459" s="95"/>
    </row>
    <row r="460" spans="1:7">
      <c r="D460" s="69" t="s">
        <v>997</v>
      </c>
      <c r="E460" s="8" t="s">
        <v>1127</v>
      </c>
      <c r="F460" s="19" t="s">
        <v>1124</v>
      </c>
    </row>
    <row r="461" spans="1:7">
      <c r="D461" s="72" t="s">
        <v>1130</v>
      </c>
      <c r="F461" s="95"/>
    </row>
    <row r="462" spans="1:7">
      <c r="D462" s="69" t="s">
        <v>305</v>
      </c>
      <c r="E462" s="8" t="s">
        <v>1129</v>
      </c>
      <c r="F462" s="95" t="s">
        <v>1131</v>
      </c>
      <c r="G462" s="14" t="s">
        <v>1134</v>
      </c>
    </row>
    <row r="463" spans="1:7" ht="18" thickBot="1">
      <c r="A463" s="20"/>
      <c r="B463" s="20"/>
      <c r="C463" s="20"/>
      <c r="D463" s="70"/>
      <c r="E463" s="26" t="s">
        <v>1132</v>
      </c>
    </row>
    <row r="464" spans="1:7">
      <c r="A464" s="87" t="s">
        <v>1170</v>
      </c>
      <c r="B464" s="87" t="s">
        <v>190</v>
      </c>
      <c r="C464" s="88">
        <v>45478</v>
      </c>
      <c r="D464" s="85" t="s">
        <v>914</v>
      </c>
    </row>
    <row r="465" spans="4:6">
      <c r="D465" s="85" t="s">
        <v>876</v>
      </c>
    </row>
    <row r="466" spans="4:6">
      <c r="D466" s="68" t="s">
        <v>1145</v>
      </c>
    </row>
    <row r="467" spans="4:6">
      <c r="D467" s="69" t="s">
        <v>997</v>
      </c>
      <c r="E467" s="97" t="s">
        <v>1138</v>
      </c>
      <c r="F467" s="2" t="s">
        <v>1139</v>
      </c>
    </row>
    <row r="468" spans="4:6">
      <c r="E468" s="97" t="s">
        <v>1140</v>
      </c>
      <c r="F468" s="2" t="s">
        <v>1141</v>
      </c>
    </row>
    <row r="469" spans="4:6">
      <c r="E469" s="97" t="s">
        <v>1142</v>
      </c>
    </row>
    <row r="470" spans="4:6">
      <c r="E470" s="97" t="s">
        <v>1143</v>
      </c>
    </row>
    <row r="471" spans="4:6">
      <c r="E471" s="83" t="s">
        <v>1144</v>
      </c>
    </row>
    <row r="472" spans="4:6">
      <c r="E472" s="83" t="s">
        <v>1152</v>
      </c>
    </row>
    <row r="473" spans="4:6">
      <c r="E473" s="83" t="s">
        <v>1151</v>
      </c>
    </row>
    <row r="474" spans="4:6">
      <c r="E474" s="83" t="s">
        <v>1153</v>
      </c>
    </row>
    <row r="475" spans="4:6">
      <c r="E475" s="83" t="s">
        <v>1154</v>
      </c>
    </row>
    <row r="476" spans="4:6">
      <c r="E476" s="83" t="s">
        <v>1155</v>
      </c>
    </row>
    <row r="477" spans="4:6">
      <c r="E477" s="83" t="s">
        <v>1156</v>
      </c>
    </row>
    <row r="478" spans="4:6">
      <c r="D478" s="68" t="s">
        <v>1146</v>
      </c>
      <c r="E478" s="8" t="s">
        <v>1147</v>
      </c>
      <c r="F478" s="2" t="s">
        <v>1150</v>
      </c>
    </row>
    <row r="479" spans="4:6">
      <c r="D479" s="68" t="s">
        <v>1169</v>
      </c>
    </row>
    <row r="480" spans="4:6">
      <c r="D480" s="69" t="s">
        <v>997</v>
      </c>
      <c r="E480" s="83" t="s">
        <v>1160</v>
      </c>
      <c r="F480" s="2" t="s">
        <v>1161</v>
      </c>
    </row>
    <row r="481" spans="1:7">
      <c r="E481" s="83" t="s">
        <v>1162</v>
      </c>
    </row>
    <row r="482" spans="1:7">
      <c r="D482" s="68" t="s">
        <v>1168</v>
      </c>
    </row>
    <row r="483" spans="1:7">
      <c r="D483" s="69" t="s">
        <v>997</v>
      </c>
      <c r="E483" s="83" t="s">
        <v>1160</v>
      </c>
    </row>
    <row r="484" spans="1:7">
      <c r="E484" s="83" t="s">
        <v>1162</v>
      </c>
    </row>
    <row r="485" spans="1:7">
      <c r="D485" s="68" t="s">
        <v>1167</v>
      </c>
    </row>
    <row r="486" spans="1:7">
      <c r="D486" s="69" t="s">
        <v>997</v>
      </c>
      <c r="E486" s="83" t="s">
        <v>1160</v>
      </c>
    </row>
    <row r="487" spans="1:7">
      <c r="E487" s="83" t="s">
        <v>1162</v>
      </c>
    </row>
    <row r="488" spans="1:7">
      <c r="D488" s="68" t="s">
        <v>238</v>
      </c>
      <c r="E488" s="76"/>
    </row>
    <row r="489" spans="1:7" ht="18" thickBot="1">
      <c r="A489" s="20"/>
      <c r="B489" s="20"/>
      <c r="C489" s="20"/>
      <c r="D489" s="70"/>
      <c r="E489" s="98" t="s">
        <v>1163</v>
      </c>
      <c r="F489" s="99" t="s">
        <v>1164</v>
      </c>
    </row>
    <row r="490" spans="1:7">
      <c r="A490" s="87" t="s">
        <v>1171</v>
      </c>
      <c r="B490" s="87" t="s">
        <v>190</v>
      </c>
      <c r="C490" s="88">
        <v>45517</v>
      </c>
      <c r="D490" s="85" t="s">
        <v>914</v>
      </c>
    </row>
    <row r="491" spans="1:7">
      <c r="D491" s="85" t="s">
        <v>876</v>
      </c>
    </row>
    <row r="492" spans="1:7">
      <c r="D492" s="68" t="s">
        <v>1169</v>
      </c>
    </row>
    <row r="493" spans="1:7">
      <c r="D493" s="69" t="s">
        <v>877</v>
      </c>
      <c r="E493" s="83" t="s">
        <v>1182</v>
      </c>
      <c r="F493" s="2" t="s">
        <v>1183</v>
      </c>
      <c r="G493" s="14" t="s">
        <v>1184</v>
      </c>
    </row>
    <row r="494" spans="1:7">
      <c r="D494" s="69"/>
      <c r="E494" s="83" t="s">
        <v>1178</v>
      </c>
    </row>
    <row r="495" spans="1:7">
      <c r="D495" s="69"/>
      <c r="E495" s="83" t="s">
        <v>1179</v>
      </c>
    </row>
    <row r="496" spans="1:7">
      <c r="D496" s="69" t="s">
        <v>305</v>
      </c>
      <c r="E496" s="83" t="s">
        <v>1185</v>
      </c>
      <c r="F496" s="2" t="s">
        <v>1183</v>
      </c>
      <c r="G496" s="14" t="s">
        <v>1184</v>
      </c>
    </row>
    <row r="497" spans="4:6">
      <c r="D497" s="69"/>
      <c r="E497" s="83" t="s">
        <v>1180</v>
      </c>
    </row>
    <row r="498" spans="4:6">
      <c r="D498" s="69"/>
      <c r="E498" s="83" t="s">
        <v>1181</v>
      </c>
    </row>
    <row r="499" spans="4:6">
      <c r="D499" s="68" t="s">
        <v>1174</v>
      </c>
    </row>
    <row r="500" spans="4:6">
      <c r="D500" s="69" t="s">
        <v>1120</v>
      </c>
      <c r="E500" s="83" t="s">
        <v>1177</v>
      </c>
    </row>
    <row r="501" spans="4:6">
      <c r="E501" s="83" t="s">
        <v>1175</v>
      </c>
    </row>
    <row r="502" spans="4:6">
      <c r="E502" s="83" t="s">
        <v>682</v>
      </c>
    </row>
    <row r="503" spans="4:6">
      <c r="E503" s="83" t="s">
        <v>1176</v>
      </c>
    </row>
    <row r="504" spans="4:6">
      <c r="D504" s="68" t="s">
        <v>1227</v>
      </c>
    </row>
    <row r="505" spans="4:6">
      <c r="D505" s="69" t="s">
        <v>305</v>
      </c>
      <c r="E505" s="8" t="s">
        <v>1230</v>
      </c>
      <c r="F505" s="2" t="s">
        <v>1232</v>
      </c>
    </row>
    <row r="506" spans="4:6">
      <c r="E506" s="8" t="s">
        <v>1228</v>
      </c>
    </row>
    <row r="507" spans="4:6">
      <c r="E507" s="8" t="s">
        <v>1231</v>
      </c>
    </row>
    <row r="508" spans="4:6">
      <c r="E508" s="8" t="s">
        <v>1229</v>
      </c>
    </row>
    <row r="509" spans="4:6">
      <c r="D509" s="68" t="s">
        <v>1341</v>
      </c>
    </row>
    <row r="510" spans="4:6">
      <c r="D510" s="69" t="s">
        <v>305</v>
      </c>
      <c r="E510" s="8" t="s">
        <v>1226</v>
      </c>
      <c r="F510" s="2" t="s">
        <v>1233</v>
      </c>
    </row>
    <row r="511" spans="4:6">
      <c r="D511" s="69" t="s">
        <v>1223</v>
      </c>
      <c r="E511" s="8" t="s">
        <v>1224</v>
      </c>
    </row>
    <row r="512" spans="4:6">
      <c r="E512" s="8" t="s">
        <v>1189</v>
      </c>
    </row>
    <row r="513" spans="4:5">
      <c r="E513" s="8" t="s">
        <v>1212</v>
      </c>
    </row>
    <row r="514" spans="4:5">
      <c r="E514" s="8" t="s">
        <v>1214</v>
      </c>
    </row>
    <row r="515" spans="4:5">
      <c r="E515" s="8" t="s">
        <v>1221</v>
      </c>
    </row>
    <row r="516" spans="4:5">
      <c r="E516" s="8" t="s">
        <v>1191</v>
      </c>
    </row>
    <row r="517" spans="4:5">
      <c r="E517" s="8" t="s">
        <v>1193</v>
      </c>
    </row>
    <row r="518" spans="4:5">
      <c r="E518" s="8" t="s">
        <v>1195</v>
      </c>
    </row>
    <row r="519" spans="4:5">
      <c r="E519" s="8" t="s">
        <v>1197</v>
      </c>
    </row>
    <row r="520" spans="4:5">
      <c r="D520" s="69" t="s">
        <v>1225</v>
      </c>
      <c r="E520" s="8" t="s">
        <v>1224</v>
      </c>
    </row>
    <row r="521" spans="4:5">
      <c r="E521" s="8" t="s">
        <v>1218</v>
      </c>
    </row>
    <row r="522" spans="4:5">
      <c r="E522" s="8" t="s">
        <v>1216</v>
      </c>
    </row>
    <row r="523" spans="4:5">
      <c r="E523" s="8" t="s">
        <v>1210</v>
      </c>
    </row>
    <row r="524" spans="4:5">
      <c r="E524" s="8" t="s">
        <v>1208</v>
      </c>
    </row>
    <row r="525" spans="4:5">
      <c r="E525" s="8" t="s">
        <v>1219</v>
      </c>
    </row>
    <row r="526" spans="4:5">
      <c r="E526" s="8" t="s">
        <v>1200</v>
      </c>
    </row>
    <row r="527" spans="4:5">
      <c r="E527" s="8" t="s">
        <v>1202</v>
      </c>
    </row>
    <row r="528" spans="4:5">
      <c r="E528" s="8" t="s">
        <v>1204</v>
      </c>
    </row>
    <row r="529" spans="1:7" ht="18" thickBot="1">
      <c r="A529" s="20"/>
      <c r="B529" s="20"/>
      <c r="C529" s="20"/>
      <c r="D529" s="70"/>
      <c r="E529" s="26" t="s">
        <v>1206</v>
      </c>
    </row>
    <row r="530" spans="1:7">
      <c r="A530" s="1" t="s">
        <v>1260</v>
      </c>
      <c r="B530" s="2" t="s">
        <v>190</v>
      </c>
      <c r="C530" s="88">
        <v>45518</v>
      </c>
      <c r="D530" s="68" t="s">
        <v>171</v>
      </c>
    </row>
    <row r="531" spans="1:7" ht="18" thickBot="1">
      <c r="A531" s="20"/>
      <c r="B531" s="20"/>
      <c r="C531" s="20"/>
      <c r="D531" s="73" t="s">
        <v>997</v>
      </c>
      <c r="E531" s="26" t="s">
        <v>1261</v>
      </c>
    </row>
    <row r="532" spans="1:7">
      <c r="A532" s="87" t="s">
        <v>1255</v>
      </c>
      <c r="B532" s="87" t="s">
        <v>190</v>
      </c>
      <c r="C532" s="88">
        <v>45558</v>
      </c>
      <c r="D532" s="85" t="s">
        <v>914</v>
      </c>
    </row>
    <row r="533" spans="1:7">
      <c r="D533" s="85" t="s">
        <v>876</v>
      </c>
    </row>
    <row r="534" spans="1:7">
      <c r="D534" s="68" t="s">
        <v>1256</v>
      </c>
      <c r="E534" s="83" t="s">
        <v>1257</v>
      </c>
      <c r="F534" s="8" t="s">
        <v>1258</v>
      </c>
      <c r="G534" s="14" t="s">
        <v>1259</v>
      </c>
    </row>
    <row r="535" spans="1:7">
      <c r="D535" s="69" t="s">
        <v>305</v>
      </c>
      <c r="E535" s="83" t="s">
        <v>1234</v>
      </c>
    </row>
    <row r="536" spans="1:7">
      <c r="E536" s="83" t="s">
        <v>1236</v>
      </c>
    </row>
    <row r="537" spans="1:7">
      <c r="E537" s="83" t="s">
        <v>1247</v>
      </c>
    </row>
    <row r="538" spans="1:7">
      <c r="E538" s="83" t="s">
        <v>1238</v>
      </c>
    </row>
    <row r="539" spans="1:7">
      <c r="E539" s="83" t="s">
        <v>1240</v>
      </c>
    </row>
    <row r="540" spans="1:7">
      <c r="E540" s="83" t="s">
        <v>1242</v>
      </c>
    </row>
    <row r="541" spans="1:7">
      <c r="E541" s="83" t="s">
        <v>1244</v>
      </c>
    </row>
    <row r="542" spans="1:7">
      <c r="E542" s="83" t="s">
        <v>1246</v>
      </c>
    </row>
    <row r="543" spans="1:7">
      <c r="D543" s="68" t="s">
        <v>1266</v>
      </c>
      <c r="E543" s="83" t="s">
        <v>1257</v>
      </c>
    </row>
    <row r="544" spans="1:7">
      <c r="D544" s="69" t="s">
        <v>305</v>
      </c>
      <c r="E544" s="83" t="s">
        <v>1251</v>
      </c>
    </row>
    <row r="545" spans="4:7">
      <c r="E545" s="83" t="s">
        <v>1249</v>
      </c>
    </row>
    <row r="546" spans="4:7">
      <c r="D546" s="68" t="s">
        <v>687</v>
      </c>
    </row>
    <row r="547" spans="4:7">
      <c r="D547" s="69" t="s">
        <v>305</v>
      </c>
      <c r="E547" s="92" t="s">
        <v>1265</v>
      </c>
    </row>
    <row r="548" spans="4:7">
      <c r="D548" s="68" t="s">
        <v>1174</v>
      </c>
      <c r="F548" s="2" t="s">
        <v>1267</v>
      </c>
      <c r="G548" s="14" t="s">
        <v>1268</v>
      </c>
    </row>
    <row r="549" spans="4:7">
      <c r="D549" s="69" t="s">
        <v>305</v>
      </c>
      <c r="E549" s="8" t="s">
        <v>1262</v>
      </c>
    </row>
    <row r="550" spans="4:7">
      <c r="E550" s="8" t="s">
        <v>1263</v>
      </c>
    </row>
    <row r="551" spans="4:7">
      <c r="D551" s="68" t="s">
        <v>59</v>
      </c>
    </row>
    <row r="552" spans="4:7">
      <c r="D552" s="69" t="s">
        <v>997</v>
      </c>
      <c r="E552" s="83" t="s">
        <v>1315</v>
      </c>
    </row>
    <row r="553" spans="4:7">
      <c r="D553" s="69"/>
      <c r="E553" s="83" t="s">
        <v>1314</v>
      </c>
    </row>
    <row r="554" spans="4:7">
      <c r="D554" s="72" t="s">
        <v>76</v>
      </c>
    </row>
    <row r="555" spans="4:7">
      <c r="D555" s="69" t="s">
        <v>997</v>
      </c>
      <c r="E555" s="8" t="s">
        <v>1316</v>
      </c>
    </row>
    <row r="556" spans="4:7">
      <c r="D556" s="68" t="s">
        <v>709</v>
      </c>
      <c r="F556" s="2" t="s">
        <v>1284</v>
      </c>
      <c r="G556" s="14" t="s">
        <v>1339</v>
      </c>
    </row>
    <row r="557" spans="4:7">
      <c r="D557" s="69" t="s">
        <v>305</v>
      </c>
      <c r="E557" s="92" t="s">
        <v>1281</v>
      </c>
    </row>
    <row r="558" spans="4:7">
      <c r="D558" s="68" t="s">
        <v>1282</v>
      </c>
    </row>
    <row r="559" spans="4:7">
      <c r="D559" s="69" t="s">
        <v>305</v>
      </c>
      <c r="E559" s="83" t="s">
        <v>1283</v>
      </c>
    </row>
    <row r="560" spans="4:7">
      <c r="D560" s="68" t="s">
        <v>1332</v>
      </c>
    </row>
    <row r="561" spans="4:5">
      <c r="D561" s="69" t="s">
        <v>305</v>
      </c>
      <c r="E561" s="83" t="s">
        <v>1285</v>
      </c>
    </row>
    <row r="562" spans="4:5">
      <c r="D562" s="69"/>
      <c r="E562" s="83" t="s">
        <v>1331</v>
      </c>
    </row>
    <row r="563" spans="4:5">
      <c r="D563" s="68" t="s">
        <v>1286</v>
      </c>
    </row>
    <row r="564" spans="4:5">
      <c r="D564" s="69" t="s">
        <v>305</v>
      </c>
      <c r="E564" s="83" t="s">
        <v>1287</v>
      </c>
    </row>
    <row r="565" spans="4:5">
      <c r="D565" s="68" t="s">
        <v>1288</v>
      </c>
    </row>
    <row r="566" spans="4:5">
      <c r="D566" s="69" t="s">
        <v>305</v>
      </c>
      <c r="E566" s="83" t="s">
        <v>1289</v>
      </c>
    </row>
    <row r="567" spans="4:5">
      <c r="D567" s="69"/>
      <c r="E567" s="83" t="s">
        <v>1333</v>
      </c>
    </row>
    <row r="568" spans="4:5">
      <c r="D568" s="69"/>
      <c r="E568" s="83" t="s">
        <v>1336</v>
      </c>
    </row>
    <row r="569" spans="4:5">
      <c r="D569" s="69"/>
      <c r="E569" s="83" t="s">
        <v>1338</v>
      </c>
    </row>
    <row r="570" spans="4:5">
      <c r="D570" s="69"/>
      <c r="E570" s="83" t="s">
        <v>1337</v>
      </c>
    </row>
    <row r="571" spans="4:5">
      <c r="D571" s="68" t="s">
        <v>799</v>
      </c>
    </row>
    <row r="572" spans="4:5">
      <c r="D572" s="69" t="s">
        <v>305</v>
      </c>
      <c r="E572" s="83" t="s">
        <v>1290</v>
      </c>
    </row>
    <row r="573" spans="4:5">
      <c r="D573" s="68" t="s">
        <v>1272</v>
      </c>
    </row>
    <row r="574" spans="4:5">
      <c r="D574" s="69" t="s">
        <v>305</v>
      </c>
      <c r="E574" s="83" t="s">
        <v>1287</v>
      </c>
    </row>
    <row r="575" spans="4:5">
      <c r="D575" s="68" t="s">
        <v>1292</v>
      </c>
    </row>
    <row r="576" spans="4:5">
      <c r="D576" s="69" t="s">
        <v>305</v>
      </c>
      <c r="E576" s="83" t="s">
        <v>1291</v>
      </c>
    </row>
    <row r="577" spans="1:5">
      <c r="D577" s="68" t="s">
        <v>1293</v>
      </c>
    </row>
    <row r="578" spans="1:5">
      <c r="D578" s="69" t="s">
        <v>305</v>
      </c>
      <c r="E578" s="83" t="s">
        <v>1294</v>
      </c>
    </row>
    <row r="579" spans="1:5">
      <c r="D579" s="68" t="s">
        <v>596</v>
      </c>
    </row>
    <row r="580" spans="1:5">
      <c r="D580" s="69" t="s">
        <v>305</v>
      </c>
      <c r="E580" s="83" t="s">
        <v>1317</v>
      </c>
    </row>
    <row r="581" spans="1:5">
      <c r="E581" s="83" t="s">
        <v>1319</v>
      </c>
    </row>
    <row r="582" spans="1:5">
      <c r="E582" s="83" t="s">
        <v>1321</v>
      </c>
    </row>
    <row r="583" spans="1:5">
      <c r="E583" s="83" t="s">
        <v>1323</v>
      </c>
    </row>
    <row r="584" spans="1:5">
      <c r="D584" s="68" t="s">
        <v>1330</v>
      </c>
    </row>
    <row r="585" spans="1:5">
      <c r="D585" s="69" t="s">
        <v>305</v>
      </c>
      <c r="E585" s="83" t="s">
        <v>1329</v>
      </c>
    </row>
    <row r="586" spans="1:5">
      <c r="D586" s="68" t="s">
        <v>1334</v>
      </c>
    </row>
    <row r="587" spans="1:5">
      <c r="D587" s="69" t="s">
        <v>305</v>
      </c>
      <c r="E587" s="11" t="s">
        <v>1335</v>
      </c>
    </row>
    <row r="588" spans="1:5">
      <c r="D588" s="68" t="s">
        <v>238</v>
      </c>
    </row>
    <row r="589" spans="1:5">
      <c r="D589" s="69" t="s">
        <v>613</v>
      </c>
      <c r="E589" s="8" t="s">
        <v>1340</v>
      </c>
    </row>
    <row r="590" spans="1:5">
      <c r="A590" s="87" t="s">
        <v>1255</v>
      </c>
      <c r="B590" s="87" t="s">
        <v>190</v>
      </c>
      <c r="C590" s="88">
        <v>45560</v>
      </c>
      <c r="D590" s="68" t="s">
        <v>1199</v>
      </c>
    </row>
    <row r="591" spans="1:5">
      <c r="D591" s="69" t="s">
        <v>1120</v>
      </c>
      <c r="E591" s="83" t="s">
        <v>1482</v>
      </c>
    </row>
    <row r="592" spans="1:5">
      <c r="C592" s="81">
        <v>45672</v>
      </c>
      <c r="D592" s="68" t="s">
        <v>76</v>
      </c>
    </row>
    <row r="593" spans="1:6">
      <c r="D593" s="69" t="s">
        <v>763</v>
      </c>
      <c r="E593" s="83" t="s">
        <v>1344</v>
      </c>
    </row>
    <row r="594" spans="1:6">
      <c r="E594" s="83" t="s">
        <v>1345</v>
      </c>
    </row>
    <row r="595" spans="1:6">
      <c r="C595" s="81">
        <v>45673</v>
      </c>
      <c r="D595" s="68" t="s">
        <v>1361</v>
      </c>
    </row>
    <row r="596" spans="1:6">
      <c r="D596" s="69" t="s">
        <v>763</v>
      </c>
      <c r="E596" s="83" t="s">
        <v>1346</v>
      </c>
    </row>
    <row r="597" spans="1:6" ht="18" thickBot="1">
      <c r="A597" s="20"/>
      <c r="B597" s="20"/>
      <c r="C597" s="20"/>
      <c r="D597" s="70"/>
      <c r="E597" s="89" t="s">
        <v>1347</v>
      </c>
    </row>
    <row r="598" spans="1:6">
      <c r="A598" s="87" t="s">
        <v>1348</v>
      </c>
      <c r="B598" s="87" t="s">
        <v>190</v>
      </c>
      <c r="C598" s="81">
        <v>45709</v>
      </c>
      <c r="D598" s="85" t="s">
        <v>914</v>
      </c>
    </row>
    <row r="599" spans="1:6">
      <c r="D599" s="85" t="s">
        <v>876</v>
      </c>
    </row>
    <row r="600" spans="1:6">
      <c r="B600" s="87"/>
      <c r="C600" s="100"/>
      <c r="D600" s="68" t="s">
        <v>5</v>
      </c>
    </row>
    <row r="601" spans="1:6">
      <c r="D601" s="69" t="s">
        <v>305</v>
      </c>
      <c r="E601" s="83" t="s">
        <v>1457</v>
      </c>
      <c r="F601" s="2" t="s">
        <v>1343</v>
      </c>
    </row>
    <row r="602" spans="1:6">
      <c r="C602" s="101"/>
      <c r="D602" s="68" t="s">
        <v>709</v>
      </c>
    </row>
    <row r="603" spans="1:6">
      <c r="D603" s="69" t="s">
        <v>763</v>
      </c>
      <c r="E603" s="83" t="s">
        <v>1370</v>
      </c>
      <c r="F603" s="2" t="s">
        <v>1357</v>
      </c>
    </row>
    <row r="604" spans="1:6">
      <c r="D604" s="69" t="s">
        <v>305</v>
      </c>
      <c r="E604" s="83" t="s">
        <v>1355</v>
      </c>
      <c r="F604" s="2" t="s">
        <v>1357</v>
      </c>
    </row>
    <row r="605" spans="1:6">
      <c r="E605" s="83" t="s">
        <v>1356</v>
      </c>
      <c r="F605" s="2" t="s">
        <v>1357</v>
      </c>
    </row>
    <row r="606" spans="1:6">
      <c r="D606" s="68" t="s">
        <v>76</v>
      </c>
    </row>
    <row r="607" spans="1:6">
      <c r="D607" s="69" t="s">
        <v>1120</v>
      </c>
      <c r="E607" s="83" t="s">
        <v>1358</v>
      </c>
      <c r="F607" s="2" t="s">
        <v>1359</v>
      </c>
    </row>
    <row r="608" spans="1:6">
      <c r="D608" s="68" t="s">
        <v>49</v>
      </c>
    </row>
    <row r="609" spans="4:5">
      <c r="D609" s="69" t="s">
        <v>763</v>
      </c>
      <c r="E609" s="83" t="s">
        <v>1360</v>
      </c>
    </row>
    <row r="610" spans="4:5">
      <c r="D610" s="72" t="s">
        <v>1483</v>
      </c>
    </row>
    <row r="611" spans="4:5">
      <c r="D611" s="69" t="s">
        <v>1120</v>
      </c>
      <c r="E611" s="83" t="s">
        <v>1416</v>
      </c>
    </row>
    <row r="612" spans="4:5">
      <c r="D612" s="69"/>
      <c r="E612" s="83" t="s">
        <v>1484</v>
      </c>
    </row>
    <row r="613" spans="4:5">
      <c r="D613" s="69"/>
      <c r="E613" s="83" t="s">
        <v>1485</v>
      </c>
    </row>
    <row r="614" spans="4:5">
      <c r="D614" s="69"/>
      <c r="E614" s="83" t="s">
        <v>1414</v>
      </c>
    </row>
    <row r="615" spans="4:5">
      <c r="D615" s="69"/>
      <c r="E615" s="83" t="s">
        <v>1415</v>
      </c>
    </row>
    <row r="616" spans="4:5">
      <c r="D616" s="69"/>
      <c r="E616" s="83" t="s">
        <v>1486</v>
      </c>
    </row>
    <row r="617" spans="4:5">
      <c r="D617" s="69"/>
      <c r="E617" s="83" t="s">
        <v>1487</v>
      </c>
    </row>
    <row r="618" spans="4:5">
      <c r="D618" s="69"/>
      <c r="E618" s="83" t="s">
        <v>1488</v>
      </c>
    </row>
    <row r="619" spans="4:5">
      <c r="D619" s="69"/>
      <c r="E619" s="83" t="s">
        <v>1489</v>
      </c>
    </row>
    <row r="620" spans="4:5">
      <c r="D620" s="69"/>
      <c r="E620" s="83" t="s">
        <v>1490</v>
      </c>
    </row>
    <row r="621" spans="4:5">
      <c r="D621" s="69"/>
      <c r="E621" s="83" t="s">
        <v>1491</v>
      </c>
    </row>
    <row r="622" spans="4:5">
      <c r="D622" s="69"/>
      <c r="E622" s="83" t="s">
        <v>1492</v>
      </c>
    </row>
    <row r="623" spans="4:5">
      <c r="D623" s="69"/>
      <c r="E623" s="83" t="s">
        <v>1493</v>
      </c>
    </row>
    <row r="624" spans="4:5">
      <c r="D624" s="69"/>
      <c r="E624" s="83" t="s">
        <v>1494</v>
      </c>
    </row>
    <row r="625" spans="4:6">
      <c r="D625" s="72" t="s">
        <v>1365</v>
      </c>
      <c r="E625" s="83" t="s">
        <v>1402</v>
      </c>
      <c r="F625" s="2" t="s">
        <v>1366</v>
      </c>
    </row>
    <row r="626" spans="4:6">
      <c r="D626" s="69" t="s">
        <v>305</v>
      </c>
      <c r="E626" s="83" t="s">
        <v>1484</v>
      </c>
    </row>
    <row r="627" spans="4:6">
      <c r="D627" s="69"/>
      <c r="E627" s="83" t="s">
        <v>1488</v>
      </c>
    </row>
    <row r="628" spans="4:6">
      <c r="D628" s="69"/>
      <c r="E628" s="83" t="s">
        <v>1495</v>
      </c>
    </row>
    <row r="629" spans="4:6">
      <c r="D629" s="69"/>
      <c r="E629" s="83" t="s">
        <v>1496</v>
      </c>
    </row>
    <row r="630" spans="4:6">
      <c r="D630" s="69"/>
      <c r="E630" s="83" t="s">
        <v>1497</v>
      </c>
    </row>
    <row r="631" spans="4:6">
      <c r="D631" s="69"/>
      <c r="E631" s="83" t="s">
        <v>1490</v>
      </c>
    </row>
    <row r="632" spans="4:6">
      <c r="D632" s="69"/>
      <c r="E632" s="83" t="s">
        <v>1498</v>
      </c>
    </row>
    <row r="633" spans="4:6">
      <c r="D633" s="69"/>
      <c r="E633" s="83" t="s">
        <v>1500</v>
      </c>
    </row>
    <row r="634" spans="4:6">
      <c r="D634" s="69"/>
      <c r="E634" s="83" t="s">
        <v>1499</v>
      </c>
    </row>
    <row r="635" spans="4:6">
      <c r="D635" s="72" t="s">
        <v>1372</v>
      </c>
      <c r="E635" s="83" t="s">
        <v>1401</v>
      </c>
    </row>
    <row r="636" spans="4:6">
      <c r="D636" s="69" t="s">
        <v>305</v>
      </c>
      <c r="E636" s="83" t="s">
        <v>1098</v>
      </c>
    </row>
    <row r="637" spans="4:6">
      <c r="D637" s="69"/>
      <c r="E637" s="83" t="s">
        <v>1373</v>
      </c>
    </row>
    <row r="638" spans="4:6">
      <c r="D638" s="69"/>
      <c r="E638" s="83" t="s">
        <v>1374</v>
      </c>
    </row>
    <row r="639" spans="4:6">
      <c r="D639" s="69"/>
      <c r="E639" s="83" t="s">
        <v>1375</v>
      </c>
    </row>
    <row r="640" spans="4:6">
      <c r="D640" s="69"/>
      <c r="E640" s="83" t="s">
        <v>1102</v>
      </c>
    </row>
    <row r="641" spans="4:5">
      <c r="D641" s="69"/>
      <c r="E641" s="83" t="s">
        <v>1376</v>
      </c>
    </row>
    <row r="642" spans="4:5">
      <c r="D642" s="72" t="s">
        <v>1377</v>
      </c>
      <c r="E642" s="83" t="s">
        <v>1403</v>
      </c>
    </row>
    <row r="643" spans="4:5">
      <c r="D643" s="69" t="s">
        <v>305</v>
      </c>
      <c r="E643" s="83" t="s">
        <v>1378</v>
      </c>
    </row>
    <row r="644" spans="4:5">
      <c r="D644" s="69"/>
      <c r="E644" s="83" t="s">
        <v>1379</v>
      </c>
    </row>
    <row r="645" spans="4:5">
      <c r="D645" s="69"/>
      <c r="E645" s="83" t="s">
        <v>1380</v>
      </c>
    </row>
    <row r="646" spans="4:5">
      <c r="D646" s="69"/>
      <c r="E646" s="83" t="s">
        <v>1381</v>
      </c>
    </row>
    <row r="647" spans="4:5">
      <c r="D647" s="69"/>
      <c r="E647" s="83" t="s">
        <v>1382</v>
      </c>
    </row>
    <row r="648" spans="4:5">
      <c r="D648" s="69"/>
      <c r="E648" s="83" t="s">
        <v>1383</v>
      </c>
    </row>
    <row r="649" spans="4:5">
      <c r="D649" s="69"/>
      <c r="E649" s="83" t="s">
        <v>1384</v>
      </c>
    </row>
    <row r="650" spans="4:5">
      <c r="D650" s="69"/>
      <c r="E650" s="83" t="s">
        <v>1385</v>
      </c>
    </row>
    <row r="651" spans="4:5">
      <c r="D651" s="69"/>
      <c r="E651" s="83" t="s">
        <v>1386</v>
      </c>
    </row>
    <row r="652" spans="4:5">
      <c r="D652" s="69"/>
      <c r="E652" s="83" t="s">
        <v>1387</v>
      </c>
    </row>
    <row r="653" spans="4:5">
      <c r="D653" s="69"/>
      <c r="E653" s="83" t="s">
        <v>1388</v>
      </c>
    </row>
    <row r="654" spans="4:5">
      <c r="D654" s="69"/>
      <c r="E654" s="83" t="s">
        <v>1389</v>
      </c>
    </row>
    <row r="655" spans="4:5">
      <c r="D655" s="69"/>
      <c r="E655" s="83" t="s">
        <v>1390</v>
      </c>
    </row>
    <row r="656" spans="4:5">
      <c r="D656" s="72" t="s">
        <v>1391</v>
      </c>
      <c r="E656" s="83" t="s">
        <v>1404</v>
      </c>
    </row>
    <row r="657" spans="4:6">
      <c r="D657" s="69" t="s">
        <v>305</v>
      </c>
      <c r="E657" s="83" t="s">
        <v>1392</v>
      </c>
    </row>
    <row r="658" spans="4:6">
      <c r="D658" s="69"/>
      <c r="E658" s="83" t="s">
        <v>1393</v>
      </c>
    </row>
    <row r="659" spans="4:6">
      <c r="D659" s="69"/>
      <c r="E659" s="83" t="s">
        <v>1394</v>
      </c>
    </row>
    <row r="660" spans="4:6">
      <c r="D660" s="69"/>
      <c r="E660" s="83" t="s">
        <v>1395</v>
      </c>
    </row>
    <row r="661" spans="4:6">
      <c r="D661" s="69"/>
      <c r="E661" s="83" t="s">
        <v>1396</v>
      </c>
    </row>
    <row r="662" spans="4:6">
      <c r="D662" s="69"/>
      <c r="E662" s="83" t="s">
        <v>1397</v>
      </c>
    </row>
    <row r="663" spans="4:6">
      <c r="D663" s="69"/>
      <c r="E663" s="83" t="s">
        <v>1398</v>
      </c>
    </row>
    <row r="664" spans="4:6">
      <c r="D664" s="69"/>
      <c r="E664" s="83" t="s">
        <v>1399</v>
      </c>
    </row>
    <row r="665" spans="4:6">
      <c r="D665" s="69"/>
      <c r="E665" s="83" t="s">
        <v>1400</v>
      </c>
    </row>
    <row r="666" spans="4:6">
      <c r="D666" s="68" t="s">
        <v>238</v>
      </c>
    </row>
    <row r="667" spans="4:6">
      <c r="D667" s="69" t="s">
        <v>1363</v>
      </c>
      <c r="E667" s="8" t="s">
        <v>1481</v>
      </c>
      <c r="F667" s="2" t="s">
        <v>1362</v>
      </c>
    </row>
    <row r="668" spans="4:6">
      <c r="D668" s="68" t="s">
        <v>13</v>
      </c>
    </row>
    <row r="669" spans="4:6">
      <c r="D669" s="69" t="s">
        <v>877</v>
      </c>
      <c r="E669" s="8" t="s">
        <v>1449</v>
      </c>
      <c r="F669" s="2" t="s">
        <v>1450</v>
      </c>
    </row>
    <row r="670" spans="4:6">
      <c r="D670" s="68" t="s">
        <v>1256</v>
      </c>
    </row>
    <row r="671" spans="4:6">
      <c r="D671" s="69" t="s">
        <v>1461</v>
      </c>
      <c r="E671" s="83" t="s">
        <v>1462</v>
      </c>
      <c r="F671" s="2" t="s">
        <v>1463</v>
      </c>
    </row>
    <row r="672" spans="4:6">
      <c r="D672" s="68" t="s">
        <v>1465</v>
      </c>
    </row>
    <row r="673" spans="1:7">
      <c r="D673" s="69" t="s">
        <v>997</v>
      </c>
      <c r="E673" s="83" t="s">
        <v>1466</v>
      </c>
      <c r="F673" s="2" t="s">
        <v>1470</v>
      </c>
      <c r="G673" s="14" t="s">
        <v>1473</v>
      </c>
    </row>
    <row r="674" spans="1:7">
      <c r="D674" s="68" t="s">
        <v>1468</v>
      </c>
    </row>
    <row r="675" spans="1:7">
      <c r="D675" s="69" t="s">
        <v>997</v>
      </c>
      <c r="E675" s="8" t="s">
        <v>1469</v>
      </c>
      <c r="F675" s="2" t="s">
        <v>1471</v>
      </c>
      <c r="G675" s="14" t="s">
        <v>1472</v>
      </c>
    </row>
    <row r="676" spans="1:7">
      <c r="D676" s="68" t="s">
        <v>1474</v>
      </c>
    </row>
    <row r="677" spans="1:7">
      <c r="D677" s="69" t="s">
        <v>997</v>
      </c>
      <c r="E677" s="8" t="s">
        <v>1475</v>
      </c>
      <c r="F677" s="2" t="s">
        <v>1478</v>
      </c>
      <c r="G677" s="14" t="s">
        <v>1479</v>
      </c>
    </row>
    <row r="678" spans="1:7">
      <c r="E678" s="8" t="s">
        <v>1476</v>
      </c>
    </row>
    <row r="679" spans="1:7">
      <c r="E679" s="8" t="s">
        <v>1477</v>
      </c>
    </row>
    <row r="680" spans="1:7">
      <c r="D680" s="68" t="s">
        <v>238</v>
      </c>
    </row>
    <row r="681" spans="1:7" ht="18" thickBot="1">
      <c r="A681" s="20"/>
      <c r="B681" s="20"/>
      <c r="C681" s="20"/>
      <c r="D681" s="73" t="s">
        <v>613</v>
      </c>
      <c r="E681" s="89" t="s">
        <v>1502</v>
      </c>
      <c r="F681" s="2" t="s">
        <v>1503</v>
      </c>
    </row>
    <row r="682" spans="1:7">
      <c r="A682" s="87" t="s">
        <v>1504</v>
      </c>
      <c r="B682" s="87" t="s">
        <v>190</v>
      </c>
      <c r="C682" s="94">
        <v>45722</v>
      </c>
      <c r="D682" s="85" t="s">
        <v>1505</v>
      </c>
    </row>
    <row r="683" spans="1:7">
      <c r="D683" s="68" t="s">
        <v>1512</v>
      </c>
    </row>
    <row r="684" spans="1:7">
      <c r="D684" s="69" t="s">
        <v>1120</v>
      </c>
      <c r="E684" s="83" t="s">
        <v>1506</v>
      </c>
      <c r="F684" s="2" t="s">
        <v>1507</v>
      </c>
      <c r="G684" s="14" t="s">
        <v>1508</v>
      </c>
    </row>
    <row r="685" spans="1:7">
      <c r="E685" s="83" t="s">
        <v>1296</v>
      </c>
    </row>
    <row r="686" spans="1:7">
      <c r="E686" s="83" t="s">
        <v>1297</v>
      </c>
    </row>
    <row r="687" spans="1:7">
      <c r="E687" s="83" t="s">
        <v>1298</v>
      </c>
    </row>
    <row r="688" spans="1:7">
      <c r="E688" s="83" t="s">
        <v>1299</v>
      </c>
    </row>
    <row r="689" spans="4:7">
      <c r="E689" s="83" t="s">
        <v>1300</v>
      </c>
    </row>
    <row r="690" spans="4:7">
      <c r="E690" s="83" t="s">
        <v>1301</v>
      </c>
    </row>
    <row r="691" spans="4:7">
      <c r="E691" s="83" t="s">
        <v>1302</v>
      </c>
    </row>
    <row r="692" spans="4:7">
      <c r="E692" s="83" t="s">
        <v>1303</v>
      </c>
    </row>
    <row r="693" spans="4:7">
      <c r="E693" s="83" t="s">
        <v>1304</v>
      </c>
    </row>
    <row r="694" spans="4:7">
      <c r="E694" s="83" t="s">
        <v>1305</v>
      </c>
    </row>
    <row r="695" spans="4:7">
      <c r="E695" s="83" t="s">
        <v>1306</v>
      </c>
    </row>
    <row r="696" spans="4:7">
      <c r="E696" s="83" t="s">
        <v>1307</v>
      </c>
    </row>
    <row r="697" spans="4:7">
      <c r="E697" s="83" t="s">
        <v>1308</v>
      </c>
    </row>
    <row r="698" spans="4:7">
      <c r="E698" s="83" t="s">
        <v>1309</v>
      </c>
    </row>
    <row r="699" spans="4:7">
      <c r="E699" s="83" t="s">
        <v>1310</v>
      </c>
    </row>
    <row r="700" spans="4:7">
      <c r="E700" s="83" t="s">
        <v>1311</v>
      </c>
    </row>
    <row r="701" spans="4:7">
      <c r="D701" s="68" t="s">
        <v>70</v>
      </c>
    </row>
    <row r="702" spans="4:7">
      <c r="D702" s="69" t="s">
        <v>305</v>
      </c>
      <c r="E702" s="83" t="s">
        <v>1518</v>
      </c>
      <c r="F702" s="2" t="s">
        <v>1513</v>
      </c>
      <c r="G702" s="14" t="s">
        <v>1514</v>
      </c>
    </row>
    <row r="703" spans="4:7">
      <c r="E703" s="83" t="s">
        <v>1515</v>
      </c>
    </row>
    <row r="704" spans="4:7">
      <c r="E704" s="83" t="s">
        <v>1516</v>
      </c>
    </row>
    <row r="705" spans="1:6">
      <c r="D705" s="68" t="s">
        <v>164</v>
      </c>
    </row>
    <row r="706" spans="1:6">
      <c r="D706" s="69" t="s">
        <v>305</v>
      </c>
      <c r="E706" s="83" t="s">
        <v>1518</v>
      </c>
    </row>
    <row r="707" spans="1:6">
      <c r="E707" s="83" t="s">
        <v>1517</v>
      </c>
    </row>
    <row r="708" spans="1:6">
      <c r="E708" s="83" t="s">
        <v>1516</v>
      </c>
    </row>
    <row r="709" spans="1:6">
      <c r="D709" s="68" t="s">
        <v>709</v>
      </c>
    </row>
    <row r="710" spans="1:6">
      <c r="D710" s="69" t="s">
        <v>305</v>
      </c>
      <c r="E710" s="83" t="s">
        <v>1521</v>
      </c>
    </row>
    <row r="711" spans="1:6">
      <c r="E711" s="83" t="s">
        <v>1534</v>
      </c>
    </row>
    <row r="712" spans="1:6">
      <c r="E712" s="83" t="s">
        <v>1523</v>
      </c>
    </row>
    <row r="713" spans="1:6">
      <c r="E713" s="83" t="s">
        <v>1535</v>
      </c>
    </row>
    <row r="714" spans="1:6">
      <c r="E714" s="83" t="s">
        <v>1525</v>
      </c>
    </row>
    <row r="715" spans="1:6">
      <c r="D715" s="72" t="s">
        <v>1529</v>
      </c>
    </row>
    <row r="716" spans="1:6">
      <c r="D716" s="69" t="s">
        <v>305</v>
      </c>
      <c r="E716" s="83" t="s">
        <v>1230</v>
      </c>
      <c r="F716" s="2" t="s">
        <v>1530</v>
      </c>
    </row>
    <row r="717" spans="1:6">
      <c r="E717" s="83" t="s">
        <v>1228</v>
      </c>
    </row>
    <row r="718" spans="1:6">
      <c r="E718" s="83" t="s">
        <v>1231</v>
      </c>
    </row>
    <row r="719" spans="1:6" ht="18" thickBot="1">
      <c r="A719" s="20"/>
      <c r="B719" s="20"/>
      <c r="C719" s="20"/>
      <c r="D719" s="70"/>
      <c r="E719" s="89" t="s">
        <v>1229</v>
      </c>
    </row>
    <row r="720" spans="1:6">
      <c r="A720" s="87" t="s">
        <v>1549</v>
      </c>
      <c r="B720" s="87" t="s">
        <v>190</v>
      </c>
      <c r="C720" s="94">
        <v>45730</v>
      </c>
      <c r="D720" s="68" t="s">
        <v>76</v>
      </c>
    </row>
    <row r="721" spans="3:7">
      <c r="D721" s="69" t="s">
        <v>305</v>
      </c>
      <c r="E721" s="195" t="s">
        <v>1536</v>
      </c>
      <c r="F721" s="2" t="s">
        <v>1547</v>
      </c>
      <c r="G721" s="14" t="s">
        <v>1548</v>
      </c>
    </row>
    <row r="722" spans="3:7">
      <c r="D722" s="68" t="s">
        <v>1542</v>
      </c>
    </row>
    <row r="723" spans="3:7">
      <c r="D723" s="69" t="s">
        <v>305</v>
      </c>
      <c r="E723" s="195" t="s">
        <v>1543</v>
      </c>
      <c r="F723" s="2" t="s">
        <v>1545</v>
      </c>
      <c r="G723" s="14" t="s">
        <v>1546</v>
      </c>
    </row>
    <row r="724" spans="3:7">
      <c r="E724" s="195" t="s">
        <v>1544</v>
      </c>
    </row>
    <row r="725" spans="3:7">
      <c r="C725" s="94">
        <v>45740</v>
      </c>
      <c r="D725" s="68" t="s">
        <v>169</v>
      </c>
    </row>
    <row r="726" spans="3:7">
      <c r="D726" s="69" t="s">
        <v>1550</v>
      </c>
      <c r="E726" s="197" t="s">
        <v>1006</v>
      </c>
      <c r="F726" s="2" t="s">
        <v>1551</v>
      </c>
      <c r="G726" s="14" t="s">
        <v>1552</v>
      </c>
    </row>
    <row r="727" spans="3:7">
      <c r="E727" s="8" t="s">
        <v>1553</v>
      </c>
    </row>
    <row r="759" spans="1:8">
      <c r="A759" s="14"/>
      <c r="B759" s="14"/>
      <c r="F759" s="14"/>
      <c r="H759" s="14"/>
    </row>
    <row r="760" spans="1:8">
      <c r="A760" s="14"/>
      <c r="B760" s="14"/>
      <c r="C760" s="196">
        <v>45742</v>
      </c>
      <c r="D760" s="68" t="s">
        <v>17</v>
      </c>
      <c r="E760" s="8" t="s">
        <v>1560</v>
      </c>
      <c r="F760" s="14"/>
      <c r="H760" s="14"/>
    </row>
    <row r="761" spans="1:8">
      <c r="A761" s="14"/>
      <c r="B761" s="14"/>
      <c r="C761" s="14"/>
      <c r="D761" s="69" t="s">
        <v>1561</v>
      </c>
      <c r="E761" s="197" t="s">
        <v>1562</v>
      </c>
      <c r="F761" s="2" t="s">
        <v>1574</v>
      </c>
      <c r="G761" s="14" t="s">
        <v>1575</v>
      </c>
      <c r="H761" s="14"/>
    </row>
    <row r="762" spans="1:8">
      <c r="A762" s="14"/>
      <c r="B762" s="14"/>
      <c r="C762" s="14"/>
      <c r="E762" s="197" t="s">
        <v>1563</v>
      </c>
      <c r="F762" s="14"/>
      <c r="H762" s="14"/>
    </row>
    <row r="763" spans="1:8">
      <c r="A763" s="14"/>
      <c r="B763" s="14"/>
      <c r="C763" s="14"/>
      <c r="E763" s="197" t="s">
        <v>1568</v>
      </c>
      <c r="F763" s="14"/>
      <c r="H763" s="14"/>
    </row>
    <row r="764" spans="1:8">
      <c r="A764" s="14"/>
      <c r="B764" s="14"/>
      <c r="C764" s="14"/>
      <c r="E764" s="197" t="s">
        <v>1569</v>
      </c>
      <c r="F764" s="14"/>
      <c r="H764" s="14"/>
    </row>
    <row r="765" spans="1:8">
      <c r="A765" s="14"/>
      <c r="B765" s="14"/>
      <c r="C765" s="14"/>
      <c r="E765" s="197" t="s">
        <v>1564</v>
      </c>
      <c r="F765" s="14"/>
      <c r="H765" s="14"/>
    </row>
    <row r="766" spans="1:8">
      <c r="A766" s="14"/>
      <c r="B766" s="14"/>
      <c r="C766" s="14"/>
      <c r="E766" s="197" t="s">
        <v>1565</v>
      </c>
      <c r="F766" s="14"/>
      <c r="H766" s="14"/>
    </row>
    <row r="767" spans="1:8">
      <c r="A767" s="14"/>
      <c r="B767" s="14"/>
      <c r="C767" s="14"/>
      <c r="E767" s="197" t="s">
        <v>1570</v>
      </c>
      <c r="F767" s="14"/>
      <c r="H767" s="14"/>
    </row>
    <row r="768" spans="1:8">
      <c r="A768" s="14"/>
      <c r="B768" s="14"/>
      <c r="C768" s="14"/>
      <c r="E768" s="197" t="s">
        <v>1571</v>
      </c>
      <c r="F768" s="14"/>
      <c r="H768" s="14"/>
    </row>
    <row r="769" spans="1:8">
      <c r="A769" s="14"/>
      <c r="B769" s="14"/>
      <c r="C769" s="14"/>
      <c r="E769" s="197" t="s">
        <v>1566</v>
      </c>
      <c r="F769" s="14"/>
      <c r="H769" s="14"/>
    </row>
    <row r="770" spans="1:8">
      <c r="A770" s="14"/>
      <c r="B770" s="14"/>
      <c r="C770" s="14"/>
      <c r="E770" s="197" t="s">
        <v>1567</v>
      </c>
      <c r="F770" s="14"/>
      <c r="H770" s="14"/>
    </row>
    <row r="771" spans="1:8">
      <c r="A771" s="14"/>
      <c r="B771" s="14"/>
      <c r="C771" s="14"/>
      <c r="E771" s="197" t="s">
        <v>1572</v>
      </c>
      <c r="F771" s="14"/>
      <c r="H771" s="14"/>
    </row>
    <row r="772" spans="1:8">
      <c r="A772" s="14"/>
      <c r="B772" s="14"/>
      <c r="C772" s="14"/>
      <c r="E772" s="197" t="s">
        <v>1573</v>
      </c>
      <c r="F772" s="14"/>
      <c r="H772" s="14"/>
    </row>
    <row r="773" spans="1:8">
      <c r="C773" s="196">
        <v>45807</v>
      </c>
      <c r="D773" s="68" t="s">
        <v>96</v>
      </c>
      <c r="F773" s="14"/>
      <c r="H773" s="14"/>
    </row>
    <row r="774" spans="1:8" ht="18" thickBot="1">
      <c r="A774" s="20"/>
      <c r="B774" s="20"/>
      <c r="C774" s="15"/>
      <c r="D774" s="73" t="s">
        <v>997</v>
      </c>
      <c r="E774" s="26" t="s">
        <v>1588</v>
      </c>
      <c r="F774" s="15" t="s">
        <v>1589</v>
      </c>
      <c r="H774" s="14"/>
    </row>
    <row r="775" spans="1:8">
      <c r="A775" s="87" t="s">
        <v>1576</v>
      </c>
      <c r="B775" s="14" t="s">
        <v>190</v>
      </c>
      <c r="C775" s="196">
        <v>45825</v>
      </c>
      <c r="D775" s="85" t="s">
        <v>914</v>
      </c>
    </row>
    <row r="776" spans="1:8">
      <c r="A776" s="14"/>
      <c r="C776" s="14"/>
      <c r="D776" s="85" t="s">
        <v>876</v>
      </c>
    </row>
    <row r="777" spans="1:8">
      <c r="A777" s="14"/>
      <c r="C777" s="14"/>
      <c r="D777" s="68" t="s">
        <v>1577</v>
      </c>
      <c r="F777" s="14"/>
      <c r="H777" s="14"/>
    </row>
    <row r="778" spans="1:8">
      <c r="A778" s="14"/>
      <c r="B778" s="14"/>
      <c r="C778" s="14"/>
      <c r="D778" s="69" t="s">
        <v>305</v>
      </c>
      <c r="E778" s="27" t="s">
        <v>1580</v>
      </c>
      <c r="F778" s="14" t="s">
        <v>1583</v>
      </c>
      <c r="G778" s="14" t="s">
        <v>1584</v>
      </c>
      <c r="H778" s="14"/>
    </row>
    <row r="779" spans="1:8">
      <c r="A779" s="14"/>
      <c r="B779" s="14"/>
      <c r="C779" s="14"/>
      <c r="D779" s="68" t="s">
        <v>238</v>
      </c>
      <c r="H779" s="14"/>
    </row>
    <row r="780" spans="1:8">
      <c r="A780" s="14"/>
      <c r="B780" s="14"/>
      <c r="C780" s="14"/>
      <c r="D780" s="69" t="s">
        <v>613</v>
      </c>
      <c r="E780" s="8" t="s">
        <v>1582</v>
      </c>
      <c r="F780" s="2" t="s">
        <v>1503</v>
      </c>
      <c r="H780" s="14"/>
    </row>
    <row r="781" spans="1:8">
      <c r="A781" s="14"/>
      <c r="B781" s="14"/>
      <c r="C781" s="14"/>
      <c r="D781" s="68" t="s">
        <v>1586</v>
      </c>
      <c r="F781" s="14"/>
      <c r="H781" s="14"/>
    </row>
    <row r="782" spans="1:8">
      <c r="A782" s="14"/>
      <c r="B782" s="14"/>
      <c r="C782" s="14"/>
      <c r="D782" s="69" t="s">
        <v>1120</v>
      </c>
      <c r="E782" s="83" t="s">
        <v>1209</v>
      </c>
      <c r="F782" s="14" t="s">
        <v>1605</v>
      </c>
      <c r="H782" s="14"/>
    </row>
    <row r="783" spans="1:8">
      <c r="A783" s="14"/>
      <c r="B783" s="14"/>
      <c r="C783" s="14"/>
      <c r="D783" s="68" t="s">
        <v>1586</v>
      </c>
      <c r="F783" s="14"/>
      <c r="H783" s="14"/>
    </row>
    <row r="784" spans="1:8">
      <c r="A784" s="14"/>
      <c r="B784" s="14"/>
      <c r="C784" s="14"/>
      <c r="D784" s="69" t="s">
        <v>997</v>
      </c>
      <c r="E784" s="83" t="s">
        <v>1587</v>
      </c>
      <c r="F784" s="14" t="s">
        <v>1605</v>
      </c>
      <c r="H784" s="14"/>
    </row>
    <row r="785" spans="1:8">
      <c r="A785" s="14"/>
      <c r="B785" s="14"/>
      <c r="C785" s="14"/>
      <c r="D785" s="68" t="s">
        <v>1600</v>
      </c>
      <c r="F785" s="14"/>
      <c r="H785" s="14"/>
    </row>
    <row r="786" spans="1:8">
      <c r="A786" s="14"/>
      <c r="B786" s="14"/>
      <c r="C786" s="14"/>
      <c r="D786" s="69" t="s">
        <v>305</v>
      </c>
      <c r="E786" s="8" t="s">
        <v>1595</v>
      </c>
      <c r="F786" s="14" t="s">
        <v>1593</v>
      </c>
      <c r="H786" s="14"/>
    </row>
    <row r="787" spans="1:8">
      <c r="A787" s="14"/>
      <c r="B787" s="14"/>
      <c r="C787" s="14"/>
      <c r="D787" s="68" t="s">
        <v>1601</v>
      </c>
      <c r="F787" s="14"/>
      <c r="H787" s="14"/>
    </row>
    <row r="788" spans="1:8">
      <c r="A788" s="14"/>
      <c r="B788" s="14"/>
      <c r="C788" s="14"/>
      <c r="D788" s="69" t="s">
        <v>305</v>
      </c>
      <c r="E788" s="8" t="s">
        <v>1599</v>
      </c>
      <c r="F788" s="14" t="s">
        <v>1593</v>
      </c>
      <c r="H788" s="14"/>
    </row>
    <row r="789" spans="1:8">
      <c r="A789" s="14"/>
      <c r="B789" s="14"/>
      <c r="C789" s="14"/>
      <c r="D789" s="68" t="s">
        <v>1047</v>
      </c>
      <c r="F789" s="14"/>
      <c r="H789" s="14"/>
    </row>
    <row r="790" spans="1:8">
      <c r="A790" s="14"/>
      <c r="B790" s="14"/>
      <c r="C790" s="14"/>
      <c r="D790" s="69" t="s">
        <v>305</v>
      </c>
      <c r="E790" s="8" t="s">
        <v>1603</v>
      </c>
      <c r="F790" s="14" t="s">
        <v>1604</v>
      </c>
      <c r="G790" s="208"/>
      <c r="H790" s="14"/>
    </row>
    <row r="791" spans="1:8">
      <c r="A791" s="14"/>
      <c r="B791" s="14"/>
      <c r="C791" s="14"/>
      <c r="D791" s="68" t="s">
        <v>70</v>
      </c>
      <c r="F791" s="14"/>
      <c r="H791" s="14"/>
    </row>
    <row r="792" spans="1:8">
      <c r="A792" s="14"/>
      <c r="B792" s="14"/>
      <c r="C792" s="14"/>
      <c r="D792" s="69" t="s">
        <v>997</v>
      </c>
      <c r="E792" s="8" t="s">
        <v>1610</v>
      </c>
      <c r="F792" s="14" t="s">
        <v>1611</v>
      </c>
      <c r="G792" s="208"/>
      <c r="H792" s="14"/>
    </row>
    <row r="793" spans="1:8">
      <c r="A793" s="14"/>
      <c r="B793" s="14"/>
      <c r="C793" s="14"/>
      <c r="E793" s="8" t="s">
        <v>1480</v>
      </c>
      <c r="F793" s="14"/>
      <c r="H793" s="14"/>
    </row>
    <row r="794" spans="1:8">
      <c r="A794" s="14"/>
      <c r="B794" s="14"/>
      <c r="C794" s="14"/>
      <c r="E794" s="8" t="s">
        <v>1606</v>
      </c>
      <c r="F794" s="14"/>
      <c r="H794" s="14"/>
    </row>
    <row r="795" spans="1:8">
      <c r="A795" s="14"/>
      <c r="B795" s="14"/>
      <c r="C795" s="14"/>
      <c r="E795" s="8" t="s">
        <v>1607</v>
      </c>
      <c r="F795" s="14"/>
      <c r="H795" s="14"/>
    </row>
    <row r="796" spans="1:8">
      <c r="A796" s="14"/>
      <c r="B796" s="14"/>
      <c r="C796" s="14"/>
      <c r="E796" s="8" t="s">
        <v>981</v>
      </c>
      <c r="F796" s="14"/>
      <c r="H796" s="14"/>
    </row>
    <row r="797" spans="1:8">
      <c r="A797" s="14"/>
      <c r="B797" s="14"/>
      <c r="C797" s="14"/>
      <c r="E797" s="8" t="s">
        <v>1608</v>
      </c>
      <c r="F797" s="14"/>
      <c r="H797" s="14"/>
    </row>
    <row r="798" spans="1:8">
      <c r="A798" s="14"/>
      <c r="B798" s="14"/>
      <c r="C798" s="14"/>
      <c r="E798" s="8" t="s">
        <v>1609</v>
      </c>
      <c r="F798" s="14"/>
      <c r="H798" s="14"/>
    </row>
    <row r="799" spans="1:8">
      <c r="A799" s="14"/>
      <c r="B799" s="14"/>
      <c r="C799" s="14"/>
      <c r="D799" s="68" t="s">
        <v>1613</v>
      </c>
      <c r="F799" s="14" t="s">
        <v>1620</v>
      </c>
      <c r="H799" s="14"/>
    </row>
    <row r="800" spans="1:8">
      <c r="A800" s="14"/>
      <c r="B800" s="14"/>
      <c r="C800" s="14"/>
      <c r="D800" s="69" t="s">
        <v>305</v>
      </c>
      <c r="E800" s="83" t="s">
        <v>1612</v>
      </c>
      <c r="F800" s="14"/>
      <c r="H800" s="14"/>
    </row>
    <row r="801" spans="1:8">
      <c r="A801" s="14"/>
      <c r="B801" s="14"/>
      <c r="C801" s="14"/>
      <c r="E801" s="83" t="s">
        <v>1614</v>
      </c>
      <c r="F801" s="14"/>
      <c r="H801" s="14"/>
    </row>
    <row r="802" spans="1:8">
      <c r="A802" s="14"/>
      <c r="B802" s="14"/>
      <c r="C802" s="14"/>
      <c r="D802" s="68" t="s">
        <v>1617</v>
      </c>
      <c r="F802" s="14" t="s">
        <v>1619</v>
      </c>
      <c r="H802" s="14"/>
    </row>
    <row r="803" spans="1:8">
      <c r="A803" s="14"/>
      <c r="B803" s="14"/>
      <c r="C803" s="14"/>
      <c r="D803" s="69" t="s">
        <v>305</v>
      </c>
      <c r="E803" s="8" t="s">
        <v>1616</v>
      </c>
      <c r="F803" s="14"/>
      <c r="H803" s="14"/>
    </row>
    <row r="804" spans="1:8">
      <c r="A804" s="14"/>
      <c r="B804" s="14"/>
      <c r="C804" s="14"/>
      <c r="E804" s="8" t="s">
        <v>1618</v>
      </c>
      <c r="F804" s="14"/>
      <c r="H804" s="14"/>
    </row>
    <row r="805" spans="1:8">
      <c r="A805" s="14"/>
      <c r="B805" s="14"/>
      <c r="C805" s="14"/>
      <c r="D805" s="68" t="s">
        <v>59</v>
      </c>
      <c r="F805" s="14" t="s">
        <v>1626</v>
      </c>
      <c r="H805" s="14"/>
    </row>
    <row r="806" spans="1:8">
      <c r="A806" s="14"/>
      <c r="B806" s="14"/>
      <c r="C806" s="14"/>
      <c r="D806" s="69" t="s">
        <v>305</v>
      </c>
      <c r="E806" s="8" t="s">
        <v>1622</v>
      </c>
      <c r="F806" s="14"/>
      <c r="H806" s="14"/>
    </row>
    <row r="807" spans="1:8">
      <c r="A807" s="14"/>
      <c r="B807" s="14"/>
      <c r="C807" s="14"/>
      <c r="E807" s="8" t="s">
        <v>1625</v>
      </c>
      <c r="F807" s="14"/>
      <c r="H807" s="14"/>
    </row>
    <row r="808" spans="1:8">
      <c r="A808" s="14"/>
      <c r="B808" s="14"/>
      <c r="C808" s="14"/>
      <c r="D808" s="68" t="s">
        <v>96</v>
      </c>
      <c r="F808" s="14"/>
      <c r="H808" s="14"/>
    </row>
    <row r="809" spans="1:8" ht="18" thickBot="1">
      <c r="A809" s="15"/>
      <c r="B809" s="15"/>
      <c r="C809" s="15"/>
      <c r="D809" s="73" t="s">
        <v>997</v>
      </c>
      <c r="E809" s="89" t="s">
        <v>1588</v>
      </c>
      <c r="F809" s="14"/>
      <c r="H809" s="14"/>
    </row>
    <row r="810" spans="1:8">
      <c r="A810" s="87" t="s">
        <v>1638</v>
      </c>
      <c r="B810" s="14" t="s">
        <v>190</v>
      </c>
      <c r="C810" s="196">
        <v>45832</v>
      </c>
      <c r="D810" s="85" t="s">
        <v>914</v>
      </c>
      <c r="F810" s="14"/>
      <c r="H810" s="14"/>
    </row>
    <row r="811" spans="1:8">
      <c r="A811" s="14"/>
      <c r="C811" s="14"/>
      <c r="D811" s="85" t="s">
        <v>876</v>
      </c>
      <c r="F811" s="14"/>
      <c r="H811" s="14"/>
    </row>
    <row r="812" spans="1:8">
      <c r="A812" s="14"/>
      <c r="B812" s="14"/>
      <c r="C812" s="14"/>
      <c r="D812" s="68" t="s">
        <v>1047</v>
      </c>
      <c r="F812" s="14"/>
      <c r="H812" s="14"/>
    </row>
    <row r="813" spans="1:8">
      <c r="A813" s="14"/>
      <c r="B813" s="14"/>
      <c r="C813" s="14"/>
      <c r="D813" s="69" t="s">
        <v>1120</v>
      </c>
      <c r="E813" s="8" t="s">
        <v>952</v>
      </c>
      <c r="F813" s="14"/>
      <c r="H813" s="14"/>
    </row>
    <row r="814" spans="1:8">
      <c r="A814" s="14"/>
      <c r="B814" s="14"/>
      <c r="C814" s="14"/>
      <c r="D814" s="69" t="s">
        <v>752</v>
      </c>
      <c r="E814" s="8" t="s">
        <v>1640</v>
      </c>
      <c r="F814" s="14" t="s">
        <v>1604</v>
      </c>
      <c r="H814" s="14"/>
    </row>
    <row r="815" spans="1:8">
      <c r="A815" s="14"/>
      <c r="B815" s="14"/>
      <c r="C815" s="14"/>
      <c r="E815" s="8" t="s">
        <v>1639</v>
      </c>
      <c r="F815" s="14"/>
      <c r="H815" s="14"/>
    </row>
    <row r="816" spans="1:8">
      <c r="A816" s="14"/>
      <c r="B816" s="14"/>
      <c r="C816" s="14"/>
      <c r="D816" s="69" t="s">
        <v>305</v>
      </c>
      <c r="E816" s="8" t="s">
        <v>1641</v>
      </c>
      <c r="F816" s="14" t="s">
        <v>1604</v>
      </c>
      <c r="H816" s="14"/>
    </row>
    <row r="817" spans="1:8">
      <c r="A817" s="14"/>
      <c r="B817" s="14"/>
      <c r="C817" s="14"/>
      <c r="E817" s="8" t="s">
        <v>1628</v>
      </c>
      <c r="F817" s="14"/>
      <c r="H817" s="14"/>
    </row>
    <row r="818" spans="1:8">
      <c r="A818" s="14"/>
      <c r="B818" s="14"/>
      <c r="C818" s="14"/>
      <c r="E818" s="8" t="s">
        <v>1630</v>
      </c>
      <c r="F818" s="14"/>
      <c r="H818" s="14"/>
    </row>
    <row r="819" spans="1:8">
      <c r="A819" s="14"/>
      <c r="B819" s="14"/>
      <c r="C819" s="14"/>
      <c r="E819" s="8" t="s">
        <v>1632</v>
      </c>
      <c r="F819" s="14"/>
      <c r="H819" s="14"/>
    </row>
    <row r="820" spans="1:8">
      <c r="A820" s="14"/>
      <c r="B820" s="14"/>
      <c r="C820" s="14"/>
      <c r="D820" s="68" t="s">
        <v>1648</v>
      </c>
      <c r="F820" s="14"/>
      <c r="H820" s="14"/>
    </row>
    <row r="821" spans="1:8">
      <c r="A821" s="14"/>
      <c r="B821" s="14"/>
      <c r="C821" s="14"/>
      <c r="D821" s="69" t="s">
        <v>305</v>
      </c>
      <c r="E821" s="83" t="s">
        <v>1642</v>
      </c>
      <c r="F821" s="14"/>
      <c r="H821" s="14"/>
    </row>
    <row r="822" spans="1:8">
      <c r="A822" s="14"/>
      <c r="B822" s="14"/>
      <c r="C822" s="14"/>
      <c r="E822" s="83" t="s">
        <v>1643</v>
      </c>
      <c r="F822" s="14"/>
      <c r="H822" s="14"/>
    </row>
    <row r="823" spans="1:8">
      <c r="A823" s="14"/>
      <c r="B823" s="14"/>
      <c r="C823" s="14"/>
      <c r="E823" s="83" t="s">
        <v>1644</v>
      </c>
      <c r="F823" s="14"/>
      <c r="H823" s="14"/>
    </row>
    <row r="824" spans="1:8">
      <c r="A824" s="14"/>
      <c r="B824" s="14"/>
      <c r="C824" s="14"/>
      <c r="E824" s="83" t="s">
        <v>1645</v>
      </c>
      <c r="F824" s="14"/>
      <c r="H824" s="14"/>
    </row>
    <row r="825" spans="1:8">
      <c r="A825" s="14"/>
      <c r="B825" s="14"/>
      <c r="C825" s="14"/>
      <c r="E825" s="83" t="s">
        <v>1646</v>
      </c>
      <c r="F825" s="14"/>
      <c r="H825" s="14"/>
    </row>
    <row r="826" spans="1:8">
      <c r="A826" s="14"/>
      <c r="B826" s="14"/>
      <c r="C826" s="14"/>
      <c r="E826" s="83" t="s">
        <v>1647</v>
      </c>
      <c r="F826" s="14"/>
      <c r="H826" s="14"/>
    </row>
    <row r="827" spans="1:8">
      <c r="A827" s="14"/>
      <c r="B827" s="14"/>
      <c r="C827" s="14"/>
      <c r="D827" s="69" t="s">
        <v>877</v>
      </c>
      <c r="E827" s="83" t="s">
        <v>1449</v>
      </c>
      <c r="F827" s="14"/>
      <c r="H827" s="14"/>
    </row>
    <row r="828" spans="1:8">
      <c r="A828" s="87"/>
      <c r="B828" s="14"/>
      <c r="C828" s="196">
        <v>45839</v>
      </c>
      <c r="D828" s="68" t="s">
        <v>1653</v>
      </c>
      <c r="F828" s="14"/>
      <c r="H828" s="14"/>
    </row>
    <row r="829" spans="1:8">
      <c r="A829" s="14"/>
      <c r="B829" s="14"/>
      <c r="C829" s="14"/>
      <c r="D829" s="69" t="s">
        <v>1461</v>
      </c>
      <c r="E829" s="83" t="s">
        <v>1651</v>
      </c>
      <c r="F829" s="14" t="s">
        <v>1652</v>
      </c>
      <c r="H829" s="14"/>
    </row>
    <row r="830" spans="1:8">
      <c r="A830" s="14"/>
      <c r="B830" s="14"/>
      <c r="C830" s="196">
        <v>45894</v>
      </c>
      <c r="D830" s="68" t="s">
        <v>1657</v>
      </c>
      <c r="F830" s="14"/>
      <c r="H830" s="14"/>
    </row>
    <row r="831" spans="1:8">
      <c r="A831" s="14"/>
      <c r="B831" s="14"/>
      <c r="C831" s="14"/>
      <c r="D831" s="69" t="s">
        <v>763</v>
      </c>
      <c r="E831" s="83" t="s">
        <v>1658</v>
      </c>
      <c r="F831" s="14" t="s">
        <v>1659</v>
      </c>
      <c r="H831" s="14"/>
    </row>
    <row r="832" spans="1:8">
      <c r="A832" s="14"/>
      <c r="B832" s="14"/>
      <c r="C832" s="196">
        <v>45898</v>
      </c>
      <c r="D832" s="68" t="s">
        <v>1660</v>
      </c>
      <c r="F832" s="14"/>
      <c r="H832" s="14"/>
    </row>
    <row r="833" spans="1:8">
      <c r="A833" s="14"/>
      <c r="B833" s="14"/>
      <c r="C833" s="14"/>
      <c r="D833" s="69" t="s">
        <v>305</v>
      </c>
      <c r="E833" s="83" t="s">
        <v>1661</v>
      </c>
      <c r="F833" s="14"/>
      <c r="H833" s="14"/>
    </row>
    <row r="834" spans="1:8">
      <c r="A834" s="14"/>
      <c r="B834" s="14"/>
      <c r="C834" s="14"/>
      <c r="F834" s="14"/>
      <c r="H834" s="14"/>
    </row>
    <row r="835" spans="1:8">
      <c r="A835" s="14"/>
      <c r="B835" s="14"/>
      <c r="C835" s="14"/>
      <c r="F835" s="14"/>
      <c r="H835" s="14"/>
    </row>
    <row r="836" spans="1:8">
      <c r="A836" s="14"/>
      <c r="B836" s="14"/>
      <c r="C836" s="14"/>
      <c r="F836" s="14"/>
      <c r="H836" s="14"/>
    </row>
    <row r="837" spans="1:8">
      <c r="A837" s="14"/>
      <c r="B837" s="14"/>
      <c r="C837" s="14"/>
      <c r="F837" s="14"/>
      <c r="H837" s="14"/>
    </row>
    <row r="838" spans="1:8">
      <c r="A838" s="14"/>
      <c r="B838" s="14"/>
      <c r="C838" s="14"/>
      <c r="F838" s="14"/>
      <c r="H838" s="14"/>
    </row>
    <row r="839" spans="1:8">
      <c r="A839" s="14"/>
      <c r="B839" s="14"/>
      <c r="C839" s="14"/>
      <c r="F839" s="14"/>
      <c r="H839" s="14"/>
    </row>
    <row r="840" spans="1:8">
      <c r="A840" s="14"/>
      <c r="B840" s="14"/>
      <c r="C840" s="14"/>
      <c r="F840" s="14"/>
      <c r="H840" s="14"/>
    </row>
    <row r="841" spans="1:8">
      <c r="A841" s="14"/>
      <c r="B841" s="14"/>
      <c r="C841" s="14"/>
      <c r="F841" s="14"/>
      <c r="H841" s="14"/>
    </row>
    <row r="842" spans="1:8">
      <c r="A842" s="14"/>
      <c r="B842" s="14"/>
      <c r="C842" s="14"/>
      <c r="F842" s="14"/>
      <c r="H842" s="14"/>
    </row>
    <row r="843" spans="1:8">
      <c r="A843" s="14"/>
      <c r="B843" s="14"/>
      <c r="C843" s="14"/>
      <c r="F843" s="14"/>
      <c r="H843" s="14"/>
    </row>
    <row r="844" spans="1:8">
      <c r="A844" s="14"/>
      <c r="B844" s="14"/>
      <c r="C844" s="14"/>
      <c r="F844" s="14"/>
      <c r="H844" s="14"/>
    </row>
    <row r="845" spans="1:8">
      <c r="A845" s="14"/>
      <c r="B845" s="14"/>
      <c r="C845" s="14"/>
      <c r="F845" s="14"/>
      <c r="H845" s="14"/>
    </row>
    <row r="846" spans="1:8">
      <c r="A846" s="14"/>
      <c r="B846" s="14"/>
      <c r="C846" s="14"/>
      <c r="F846" s="14"/>
      <c r="H846" s="14"/>
    </row>
    <row r="847" spans="1:8">
      <c r="A847" s="14"/>
      <c r="B847" s="14"/>
      <c r="C847" s="14"/>
      <c r="F847" s="14"/>
      <c r="H847" s="14"/>
    </row>
    <row r="848" spans="1:8">
      <c r="A848" s="14"/>
      <c r="B848" s="14"/>
      <c r="C848" s="14"/>
      <c r="F848" s="14"/>
      <c r="H848" s="14"/>
    </row>
    <row r="849" spans="1:8">
      <c r="A849" s="14"/>
      <c r="B849" s="14"/>
      <c r="C849" s="14"/>
      <c r="F849" s="14"/>
      <c r="H849" s="14"/>
    </row>
    <row r="850" spans="1:8">
      <c r="A850" s="14"/>
      <c r="B850" s="14"/>
      <c r="C850" s="14"/>
      <c r="F850" s="14"/>
      <c r="H850" s="14"/>
    </row>
    <row r="851" spans="1:8">
      <c r="A851" s="14"/>
      <c r="B851" s="14"/>
      <c r="C851" s="14"/>
      <c r="F851" s="14"/>
      <c r="H851" s="14"/>
    </row>
    <row r="852" spans="1:8">
      <c r="A852" s="14"/>
      <c r="B852" s="14"/>
      <c r="C852" s="14"/>
      <c r="F852" s="14"/>
      <c r="H852" s="14"/>
    </row>
    <row r="853" spans="1:8">
      <c r="A853" s="14"/>
      <c r="B853" s="14"/>
      <c r="C853" s="14"/>
      <c r="F853" s="14"/>
      <c r="H853" s="14"/>
    </row>
    <row r="854" spans="1:8">
      <c r="A854" s="14"/>
      <c r="B854" s="14"/>
      <c r="C854" s="14"/>
      <c r="F854" s="14"/>
      <c r="H854" s="14"/>
    </row>
    <row r="855" spans="1:8">
      <c r="A855" s="14"/>
      <c r="B855" s="14"/>
      <c r="C855" s="14"/>
      <c r="F855" s="14"/>
      <c r="H855" s="14"/>
    </row>
    <row r="856" spans="1:8">
      <c r="A856" s="14"/>
      <c r="B856" s="14"/>
      <c r="C856" s="14"/>
      <c r="F856" s="14"/>
      <c r="H856" s="14"/>
    </row>
    <row r="857" spans="1:8">
      <c r="A857" s="14"/>
      <c r="B857" s="14"/>
      <c r="C857" s="14"/>
      <c r="F857" s="14"/>
      <c r="H857" s="14"/>
    </row>
    <row r="858" spans="1:8">
      <c r="A858" s="14"/>
      <c r="B858" s="14"/>
      <c r="C858" s="14"/>
      <c r="F858" s="14"/>
      <c r="H858" s="14"/>
    </row>
    <row r="859" spans="1:8">
      <c r="A859" s="14"/>
      <c r="B859" s="14"/>
      <c r="C859" s="14"/>
      <c r="F859" s="14"/>
      <c r="H859" s="14"/>
    </row>
    <row r="860" spans="1:8">
      <c r="A860" s="14"/>
      <c r="B860" s="14"/>
      <c r="C860" s="14"/>
      <c r="F860" s="14"/>
      <c r="H860" s="14"/>
    </row>
    <row r="861" spans="1:8">
      <c r="A861" s="14"/>
      <c r="B861" s="14"/>
      <c r="C861" s="14"/>
      <c r="F861" s="14"/>
      <c r="H861" s="14"/>
    </row>
    <row r="862" spans="1:8">
      <c r="A862" s="14"/>
      <c r="B862" s="14"/>
      <c r="C862" s="14"/>
      <c r="F862" s="14"/>
      <c r="H862" s="14"/>
    </row>
    <row r="863" spans="1:8">
      <c r="A863" s="14"/>
      <c r="B863" s="14"/>
      <c r="C863" s="14"/>
      <c r="F863" s="14"/>
      <c r="H863" s="14"/>
    </row>
    <row r="864" spans="1:8">
      <c r="A864" s="14"/>
      <c r="B864" s="14"/>
      <c r="C864" s="14"/>
      <c r="F864" s="14"/>
      <c r="H864" s="14"/>
    </row>
    <row r="865" spans="1:8">
      <c r="A865" s="14"/>
      <c r="B865" s="14"/>
      <c r="C865" s="14"/>
      <c r="F865" s="14"/>
      <c r="H865" s="14"/>
    </row>
    <row r="866" spans="1:8">
      <c r="A866" s="14"/>
      <c r="B866" s="14"/>
      <c r="C866" s="14"/>
      <c r="F866" s="14"/>
      <c r="H866" s="14"/>
    </row>
    <row r="867" spans="1:8">
      <c r="A867" s="14"/>
      <c r="B867" s="14"/>
      <c r="C867" s="14"/>
      <c r="F867" s="14"/>
      <c r="H867" s="14"/>
    </row>
    <row r="868" spans="1:8">
      <c r="A868" s="14"/>
      <c r="B868" s="14"/>
      <c r="C868" s="14"/>
      <c r="F868" s="14"/>
      <c r="H868" s="14"/>
    </row>
    <row r="869" spans="1:8">
      <c r="A869" s="14"/>
      <c r="B869" s="14"/>
      <c r="C869" s="14"/>
      <c r="F869" s="14"/>
      <c r="H869" s="14"/>
    </row>
    <row r="870" spans="1:8">
      <c r="A870" s="14"/>
      <c r="B870" s="14"/>
      <c r="C870" s="14"/>
      <c r="F870" s="14"/>
      <c r="H870" s="14"/>
    </row>
    <row r="871" spans="1:8">
      <c r="A871" s="14"/>
      <c r="B871" s="14"/>
      <c r="C871" s="14"/>
      <c r="F871" s="14"/>
      <c r="H871" s="14"/>
    </row>
    <row r="872" spans="1:8">
      <c r="A872" s="14"/>
      <c r="B872" s="14"/>
      <c r="C872" s="14"/>
      <c r="F872" s="14"/>
      <c r="H872" s="14"/>
    </row>
    <row r="873" spans="1:8">
      <c r="A873" s="14"/>
      <c r="B873" s="14"/>
      <c r="C873" s="14"/>
      <c r="F873" s="14"/>
      <c r="H873" s="14"/>
    </row>
    <row r="874" spans="1:8">
      <c r="A874" s="14"/>
      <c r="B874" s="14"/>
      <c r="C874" s="14"/>
      <c r="F874" s="14"/>
      <c r="H874" s="14"/>
    </row>
    <row r="875" spans="1:8">
      <c r="A875" s="14"/>
      <c r="B875" s="14"/>
      <c r="C875" s="14"/>
      <c r="F875" s="14"/>
      <c r="H875" s="14"/>
    </row>
    <row r="876" spans="1:8">
      <c r="A876" s="14"/>
      <c r="B876" s="14"/>
      <c r="C876" s="14"/>
      <c r="F876" s="14"/>
      <c r="H876" s="14"/>
    </row>
    <row r="877" spans="1:8">
      <c r="A877" s="14"/>
      <c r="B877" s="14"/>
      <c r="C877" s="14"/>
      <c r="F877" s="14"/>
      <c r="H877" s="14"/>
    </row>
    <row r="878" spans="1:8">
      <c r="A878" s="14"/>
      <c r="B878" s="14"/>
      <c r="C878" s="14"/>
      <c r="F878" s="14"/>
      <c r="H878" s="14"/>
    </row>
    <row r="879" spans="1:8">
      <c r="A879" s="14"/>
      <c r="B879" s="14"/>
      <c r="C879" s="14"/>
      <c r="F879" s="14"/>
      <c r="H879" s="14"/>
    </row>
    <row r="880" spans="1:8">
      <c r="A880" s="14"/>
      <c r="B880" s="14"/>
      <c r="C880" s="14"/>
      <c r="F880" s="14"/>
      <c r="H880" s="14"/>
    </row>
    <row r="881" spans="1:8">
      <c r="A881" s="14"/>
      <c r="B881" s="14"/>
      <c r="C881" s="14"/>
      <c r="F881" s="14"/>
      <c r="H881" s="14"/>
    </row>
    <row r="882" spans="1:8">
      <c r="A882" s="14"/>
      <c r="B882" s="14"/>
      <c r="C882" s="14"/>
      <c r="F882" s="14"/>
      <c r="H882" s="14"/>
    </row>
    <row r="883" spans="1:8">
      <c r="A883" s="14"/>
      <c r="B883" s="14"/>
      <c r="C883" s="14"/>
      <c r="F883" s="14"/>
      <c r="H883" s="14"/>
    </row>
    <row r="884" spans="1:8">
      <c r="A884" s="14"/>
      <c r="B884" s="14"/>
      <c r="C884" s="14"/>
      <c r="F884" s="14"/>
      <c r="H884" s="14"/>
    </row>
    <row r="885" spans="1:8">
      <c r="A885" s="14"/>
      <c r="B885" s="14"/>
      <c r="C885" s="14"/>
      <c r="F885" s="14"/>
      <c r="H885" s="14"/>
    </row>
    <row r="886" spans="1:8">
      <c r="A886" s="14"/>
      <c r="B886" s="14"/>
      <c r="C886" s="14"/>
      <c r="F886" s="14"/>
      <c r="H886" s="14"/>
    </row>
    <row r="887" spans="1:8">
      <c r="A887" s="14"/>
      <c r="B887" s="14"/>
      <c r="C887" s="14"/>
      <c r="F887" s="14"/>
      <c r="H887" s="14"/>
    </row>
    <row r="888" spans="1:8">
      <c r="A888" s="14"/>
      <c r="B888" s="14"/>
      <c r="C888" s="14"/>
      <c r="F888" s="14"/>
      <c r="H888" s="14"/>
    </row>
    <row r="889" spans="1:8">
      <c r="A889" s="14"/>
      <c r="B889" s="14"/>
      <c r="C889" s="14"/>
      <c r="F889" s="14"/>
      <c r="H889" s="14"/>
    </row>
    <row r="890" spans="1:8">
      <c r="A890" s="14"/>
      <c r="B890" s="14"/>
      <c r="C890" s="14"/>
      <c r="F890" s="14"/>
      <c r="H890" s="14"/>
    </row>
    <row r="891" spans="1:8">
      <c r="A891" s="14"/>
      <c r="B891" s="14"/>
      <c r="C891" s="14"/>
      <c r="F891" s="14"/>
      <c r="H891" s="14"/>
    </row>
    <row r="892" spans="1:8">
      <c r="A892" s="14"/>
      <c r="B892" s="14"/>
      <c r="C892" s="14"/>
      <c r="F892" s="14"/>
      <c r="H892" s="14"/>
    </row>
    <row r="893" spans="1:8">
      <c r="A893" s="14"/>
      <c r="B893" s="14"/>
      <c r="C893" s="14"/>
      <c r="F893" s="14"/>
      <c r="H893" s="14"/>
    </row>
    <row r="894" spans="1:8">
      <c r="A894" s="14"/>
      <c r="B894" s="14"/>
      <c r="C894" s="14"/>
      <c r="F894" s="14"/>
      <c r="H894" s="14"/>
    </row>
    <row r="895" spans="1:8">
      <c r="A895" s="14"/>
      <c r="B895" s="14"/>
      <c r="C895" s="14"/>
      <c r="F895" s="14"/>
      <c r="H895" s="14"/>
    </row>
    <row r="896" spans="1:8">
      <c r="A896" s="14"/>
      <c r="B896" s="14"/>
      <c r="C896" s="14"/>
      <c r="F896" s="14"/>
      <c r="H896" s="14"/>
    </row>
    <row r="897" spans="1:8">
      <c r="A897" s="14"/>
      <c r="B897" s="14"/>
      <c r="C897" s="14"/>
      <c r="F897" s="14"/>
      <c r="H897" s="14"/>
    </row>
    <row r="898" spans="1:8">
      <c r="A898" s="14"/>
      <c r="B898" s="14"/>
      <c r="C898" s="14"/>
      <c r="F898" s="14"/>
      <c r="H898" s="14"/>
    </row>
    <row r="899" spans="1:8">
      <c r="A899" s="14"/>
      <c r="B899" s="14"/>
      <c r="C899" s="14"/>
      <c r="F899" s="14"/>
      <c r="H899" s="14"/>
    </row>
    <row r="900" spans="1:8">
      <c r="A900" s="14"/>
      <c r="B900" s="14"/>
      <c r="C900" s="14"/>
      <c r="F900" s="14"/>
      <c r="H900" s="14"/>
    </row>
    <row r="901" spans="1:8">
      <c r="A901" s="14"/>
      <c r="B901" s="14"/>
      <c r="C901" s="14"/>
      <c r="F901" s="14"/>
      <c r="H901" s="14"/>
    </row>
    <row r="902" spans="1:8">
      <c r="A902" s="14"/>
      <c r="B902" s="14"/>
      <c r="C902" s="14"/>
      <c r="F902" s="14"/>
      <c r="H902" s="14"/>
    </row>
    <row r="903" spans="1:8">
      <c r="A903" s="14"/>
      <c r="B903" s="14"/>
      <c r="C903" s="14"/>
      <c r="F903" s="14"/>
      <c r="H903" s="14"/>
    </row>
    <row r="904" spans="1:8">
      <c r="A904" s="14"/>
      <c r="B904" s="14"/>
      <c r="C904" s="14"/>
      <c r="F904" s="14"/>
      <c r="H904" s="14"/>
    </row>
    <row r="905" spans="1:8">
      <c r="A905" s="14"/>
      <c r="B905" s="14"/>
      <c r="C905" s="14"/>
      <c r="F905" s="14"/>
      <c r="H905" s="14"/>
    </row>
    <row r="906" spans="1:8">
      <c r="A906" s="14"/>
      <c r="B906" s="14"/>
      <c r="C906" s="14"/>
      <c r="F906" s="14"/>
      <c r="H906" s="14"/>
    </row>
    <row r="907" spans="1:8">
      <c r="A907" s="14"/>
      <c r="B907" s="14"/>
      <c r="C907" s="14"/>
      <c r="F907" s="14"/>
      <c r="H907" s="14"/>
    </row>
    <row r="908" spans="1:8">
      <c r="A908" s="14"/>
      <c r="B908" s="14"/>
      <c r="C908" s="14"/>
      <c r="F908" s="14"/>
      <c r="H908" s="14"/>
    </row>
    <row r="909" spans="1:8">
      <c r="A909" s="14"/>
      <c r="B909" s="14"/>
      <c r="C909" s="14"/>
      <c r="F909" s="14"/>
      <c r="H909" s="14"/>
    </row>
    <row r="910" spans="1:8">
      <c r="A910" s="14"/>
      <c r="B910" s="14"/>
      <c r="C910" s="14"/>
      <c r="F910" s="14"/>
      <c r="H910" s="14"/>
    </row>
    <row r="911" spans="1:8">
      <c r="A911" s="14"/>
      <c r="B911" s="14"/>
      <c r="C911" s="14"/>
      <c r="F911" s="14"/>
      <c r="H911" s="14"/>
    </row>
    <row r="912" spans="1:8">
      <c r="A912" s="14"/>
      <c r="B912" s="14"/>
      <c r="C912" s="14"/>
      <c r="F912" s="14"/>
      <c r="H912" s="14"/>
    </row>
    <row r="913" spans="1:8">
      <c r="A913" s="14"/>
      <c r="B913" s="14"/>
      <c r="C913" s="14"/>
      <c r="F913" s="14"/>
      <c r="H913" s="14"/>
    </row>
    <row r="914" spans="1:8">
      <c r="A914" s="14"/>
      <c r="B914" s="14"/>
      <c r="C914" s="14"/>
      <c r="F914" s="14"/>
      <c r="H914" s="14"/>
    </row>
    <row r="915" spans="1:8">
      <c r="A915" s="14"/>
      <c r="B915" s="14"/>
      <c r="C915" s="14"/>
      <c r="F915" s="14"/>
      <c r="H915" s="14"/>
    </row>
    <row r="916" spans="1:8">
      <c r="A916" s="14"/>
      <c r="B916" s="14"/>
      <c r="C916" s="14"/>
      <c r="F916" s="14"/>
      <c r="H916" s="14"/>
    </row>
    <row r="917" spans="1:8">
      <c r="A917" s="14"/>
      <c r="B917" s="14"/>
      <c r="C917" s="14"/>
      <c r="F917" s="14"/>
      <c r="H917" s="14"/>
    </row>
    <row r="918" spans="1:8">
      <c r="A918" s="14"/>
      <c r="B918" s="14"/>
      <c r="C918" s="14"/>
      <c r="F918" s="14"/>
      <c r="H918" s="14"/>
    </row>
    <row r="919" spans="1:8">
      <c r="A919" s="14"/>
      <c r="B919" s="14"/>
      <c r="C919" s="14"/>
      <c r="F919" s="14"/>
      <c r="H919" s="14"/>
    </row>
    <row r="920" spans="1:8">
      <c r="A920" s="14"/>
      <c r="B920" s="14"/>
      <c r="C920" s="14"/>
      <c r="F920" s="14"/>
      <c r="H920" s="14"/>
    </row>
    <row r="921" spans="1:8">
      <c r="A921" s="14"/>
      <c r="B921" s="14"/>
      <c r="C921" s="14"/>
      <c r="F921" s="14"/>
      <c r="H921" s="14"/>
    </row>
    <row r="922" spans="1:8">
      <c r="A922" s="14"/>
      <c r="B922" s="14"/>
      <c r="C922" s="14"/>
      <c r="F922" s="14"/>
      <c r="H922" s="14"/>
    </row>
    <row r="923" spans="1:8">
      <c r="A923" s="14"/>
      <c r="B923" s="14"/>
      <c r="C923" s="14"/>
      <c r="F923" s="14"/>
      <c r="H923" s="14"/>
    </row>
    <row r="924" spans="1:8">
      <c r="A924" s="14"/>
      <c r="B924" s="14"/>
      <c r="C924" s="14"/>
      <c r="F924" s="14"/>
      <c r="H924" s="14"/>
    </row>
    <row r="925" spans="1:8">
      <c r="A925" s="14"/>
      <c r="B925" s="14"/>
      <c r="C925" s="14"/>
      <c r="F925" s="14"/>
      <c r="H925" s="14"/>
    </row>
    <row r="926" spans="1:8">
      <c r="A926" s="14"/>
      <c r="B926" s="14"/>
      <c r="C926" s="14"/>
      <c r="F926" s="14"/>
      <c r="H926" s="14"/>
    </row>
    <row r="927" spans="1:8">
      <c r="A927" s="14"/>
      <c r="B927" s="14"/>
      <c r="C927" s="14"/>
      <c r="F927" s="14"/>
      <c r="H927" s="14"/>
    </row>
    <row r="928" spans="1:8">
      <c r="A928" s="14"/>
      <c r="B928" s="14"/>
      <c r="C928" s="14"/>
      <c r="F928" s="14"/>
      <c r="H928" s="14"/>
    </row>
    <row r="929" spans="1:8">
      <c r="A929" s="14"/>
      <c r="B929" s="14"/>
      <c r="C929" s="14"/>
      <c r="F929" s="14"/>
      <c r="H929" s="14"/>
    </row>
    <row r="930" spans="1:8">
      <c r="A930" s="14"/>
      <c r="B930" s="14"/>
      <c r="C930" s="14"/>
      <c r="F930" s="14"/>
      <c r="H930" s="14"/>
    </row>
    <row r="931" spans="1:8">
      <c r="A931" s="14"/>
      <c r="B931" s="14"/>
      <c r="C931" s="14"/>
      <c r="F931" s="14"/>
      <c r="H931" s="14"/>
    </row>
    <row r="932" spans="1:8">
      <c r="A932" s="14"/>
      <c r="B932" s="14"/>
      <c r="C932" s="14"/>
      <c r="F932" s="14"/>
      <c r="H932" s="14"/>
    </row>
    <row r="933" spans="1:8">
      <c r="A933" s="14"/>
      <c r="B933" s="14"/>
      <c r="C933" s="14"/>
      <c r="F933" s="14"/>
      <c r="H933" s="14"/>
    </row>
    <row r="934" spans="1:8">
      <c r="A934" s="14"/>
      <c r="B934" s="14"/>
      <c r="C934" s="14"/>
      <c r="F934" s="14"/>
      <c r="H934" s="14"/>
    </row>
    <row r="935" spans="1:8">
      <c r="A935" s="14"/>
      <c r="B935" s="14"/>
      <c r="C935" s="14"/>
      <c r="F935" s="14"/>
      <c r="H935" s="14"/>
    </row>
    <row r="936" spans="1:8">
      <c r="A936" s="14"/>
      <c r="B936" s="14"/>
      <c r="C936" s="14"/>
      <c r="F936" s="14"/>
      <c r="H936" s="14"/>
    </row>
    <row r="937" spans="1:8">
      <c r="A937" s="14"/>
      <c r="B937" s="14"/>
      <c r="C937" s="14"/>
      <c r="F937" s="14"/>
      <c r="H937" s="14"/>
    </row>
    <row r="938" spans="1:8">
      <c r="A938" s="14"/>
      <c r="B938" s="14"/>
      <c r="C938" s="14"/>
      <c r="F938" s="14"/>
      <c r="H938" s="14"/>
    </row>
    <row r="939" spans="1:8">
      <c r="A939" s="14"/>
      <c r="B939" s="14"/>
      <c r="C939" s="14"/>
      <c r="F939" s="14"/>
      <c r="H939" s="14"/>
    </row>
    <row r="940" spans="1:8">
      <c r="A940" s="14"/>
      <c r="B940" s="14"/>
      <c r="C940" s="14"/>
      <c r="F940" s="14"/>
      <c r="H940" s="14"/>
    </row>
    <row r="941" spans="1:8">
      <c r="A941" s="14"/>
      <c r="B941" s="14"/>
      <c r="C941" s="14"/>
      <c r="F941" s="14"/>
      <c r="H941" s="14"/>
    </row>
    <row r="942" spans="1:8">
      <c r="A942" s="14"/>
      <c r="B942" s="14"/>
      <c r="C942" s="14"/>
      <c r="F942" s="14"/>
      <c r="H942" s="14"/>
    </row>
    <row r="943" spans="1:8">
      <c r="A943" s="14"/>
      <c r="B943" s="14"/>
      <c r="C943" s="14"/>
      <c r="F943" s="14"/>
      <c r="H943" s="14"/>
    </row>
    <row r="944" spans="1:8">
      <c r="A944" s="14"/>
      <c r="B944" s="14"/>
      <c r="C944" s="14"/>
      <c r="F944" s="14"/>
      <c r="H944" s="14"/>
    </row>
    <row r="945" spans="1:8">
      <c r="A945" s="14"/>
      <c r="B945" s="14"/>
      <c r="C945" s="14"/>
      <c r="F945" s="14"/>
      <c r="H945" s="14"/>
    </row>
    <row r="946" spans="1:8">
      <c r="A946" s="14"/>
      <c r="B946" s="14"/>
      <c r="C946" s="14"/>
      <c r="F946" s="14"/>
      <c r="H946" s="14"/>
    </row>
    <row r="947" spans="1:8">
      <c r="A947" s="14"/>
      <c r="B947" s="14"/>
      <c r="C947" s="14"/>
      <c r="F947" s="14"/>
      <c r="H947" s="14"/>
    </row>
    <row r="948" spans="1:8">
      <c r="A948" s="14"/>
      <c r="B948" s="14"/>
      <c r="C948" s="14"/>
      <c r="F948" s="14"/>
      <c r="H948" s="14"/>
    </row>
    <row r="949" spans="1:8">
      <c r="A949" s="14"/>
      <c r="B949" s="14"/>
      <c r="C949" s="14"/>
      <c r="F949" s="14"/>
      <c r="H949" s="14"/>
    </row>
    <row r="950" spans="1:8">
      <c r="A950" s="14"/>
      <c r="B950" s="14"/>
      <c r="C950" s="14"/>
      <c r="F950" s="14"/>
      <c r="H950" s="14"/>
    </row>
    <row r="951" spans="1:8">
      <c r="A951" s="14"/>
      <c r="B951" s="14"/>
      <c r="C951" s="14"/>
      <c r="F951" s="14"/>
      <c r="H951" s="14"/>
    </row>
    <row r="952" spans="1:8">
      <c r="A952" s="14"/>
      <c r="B952" s="14"/>
      <c r="C952" s="14"/>
      <c r="F952" s="14"/>
      <c r="H952" s="14"/>
    </row>
    <row r="953" spans="1:8">
      <c r="A953" s="14"/>
      <c r="B953" s="14"/>
      <c r="C953" s="14"/>
      <c r="F953" s="14"/>
      <c r="H953" s="14"/>
    </row>
    <row r="954" spans="1:8">
      <c r="A954" s="14"/>
      <c r="B954" s="14"/>
      <c r="C954" s="14"/>
      <c r="F954" s="14"/>
      <c r="H954" s="14"/>
    </row>
    <row r="955" spans="1:8">
      <c r="A955" s="14"/>
      <c r="B955" s="14"/>
      <c r="C955" s="14"/>
      <c r="F955" s="14"/>
      <c r="H955" s="14"/>
    </row>
    <row r="956" spans="1:8">
      <c r="A956" s="14"/>
      <c r="B956" s="14"/>
      <c r="C956" s="14"/>
      <c r="F956" s="14"/>
      <c r="H956" s="14"/>
    </row>
    <row r="957" spans="1:8">
      <c r="A957" s="14"/>
      <c r="B957" s="14"/>
      <c r="C957" s="14"/>
      <c r="F957" s="14"/>
      <c r="H957" s="14"/>
    </row>
    <row r="958" spans="1:8">
      <c r="A958" s="14"/>
      <c r="B958" s="14"/>
      <c r="C958" s="14"/>
      <c r="F958" s="14"/>
      <c r="H958" s="14"/>
    </row>
    <row r="959" spans="1:8">
      <c r="A959" s="14"/>
      <c r="B959" s="14"/>
      <c r="C959" s="14"/>
      <c r="F959" s="14"/>
      <c r="H959" s="14"/>
    </row>
    <row r="960" spans="1:8">
      <c r="A960" s="14"/>
      <c r="B960" s="14"/>
      <c r="C960" s="14"/>
      <c r="F960" s="14"/>
      <c r="H960" s="14"/>
    </row>
    <row r="961" spans="1:8">
      <c r="A961" s="14"/>
      <c r="B961" s="14"/>
      <c r="C961" s="14"/>
      <c r="F961" s="14"/>
      <c r="H961" s="14"/>
    </row>
    <row r="962" spans="1:8">
      <c r="A962" s="14"/>
      <c r="B962" s="14"/>
      <c r="C962" s="14"/>
      <c r="F962" s="14"/>
      <c r="H962" s="14"/>
    </row>
    <row r="963" spans="1:8">
      <c r="A963" s="14"/>
      <c r="B963" s="14"/>
      <c r="C963" s="14"/>
      <c r="F963" s="14"/>
      <c r="H963" s="14"/>
    </row>
    <row r="964" spans="1:8">
      <c r="A964" s="14"/>
      <c r="B964" s="14"/>
      <c r="C964" s="14"/>
      <c r="F964" s="14"/>
      <c r="H964" s="14"/>
    </row>
    <row r="965" spans="1:8">
      <c r="A965" s="14"/>
      <c r="B965" s="14"/>
      <c r="C965" s="14"/>
      <c r="F965" s="14"/>
      <c r="H965" s="14"/>
    </row>
    <row r="966" spans="1:8">
      <c r="A966" s="14"/>
      <c r="B966" s="14"/>
      <c r="C966" s="14"/>
      <c r="F966" s="14"/>
      <c r="H966" s="14"/>
    </row>
    <row r="967" spans="1:8">
      <c r="A967" s="14"/>
      <c r="B967" s="14"/>
      <c r="C967" s="14"/>
      <c r="F967" s="14"/>
      <c r="H967" s="14"/>
    </row>
    <row r="968" spans="1:8">
      <c r="A968" s="14"/>
      <c r="B968" s="14"/>
      <c r="C968" s="14"/>
      <c r="F968" s="14"/>
      <c r="H968" s="14"/>
    </row>
    <row r="969" spans="1:8">
      <c r="A969" s="14"/>
      <c r="B969" s="14"/>
      <c r="C969" s="14"/>
      <c r="F969" s="14"/>
      <c r="H969" s="14"/>
    </row>
    <row r="970" spans="1:8">
      <c r="A970" s="14"/>
      <c r="B970" s="14"/>
      <c r="C970" s="14"/>
      <c r="F970" s="14"/>
      <c r="H970" s="14"/>
    </row>
    <row r="971" spans="1:8">
      <c r="A971" s="14"/>
      <c r="B971" s="14"/>
      <c r="C971" s="14"/>
      <c r="F971" s="14"/>
      <c r="H971" s="14"/>
    </row>
    <row r="972" spans="1:8">
      <c r="A972" s="14"/>
      <c r="B972" s="14"/>
      <c r="C972" s="14"/>
      <c r="F972" s="14"/>
      <c r="H972" s="14"/>
    </row>
    <row r="973" spans="1:8">
      <c r="A973" s="14"/>
      <c r="B973" s="14"/>
      <c r="C973" s="14"/>
      <c r="F973" s="14"/>
      <c r="H973" s="14"/>
    </row>
    <row r="974" spans="1:8">
      <c r="A974" s="14"/>
      <c r="B974" s="14"/>
      <c r="C974" s="14"/>
      <c r="F974" s="14"/>
      <c r="H974" s="14"/>
    </row>
    <row r="975" spans="1:8">
      <c r="A975" s="14"/>
      <c r="B975" s="14"/>
      <c r="C975" s="14"/>
      <c r="F975" s="14"/>
      <c r="H975" s="14"/>
    </row>
    <row r="976" spans="1:8">
      <c r="A976" s="14"/>
      <c r="B976" s="14"/>
      <c r="C976" s="14"/>
      <c r="F976" s="14"/>
      <c r="H976" s="14"/>
    </row>
    <row r="977" spans="1:8">
      <c r="A977" s="14"/>
      <c r="B977" s="14"/>
      <c r="C977" s="14"/>
      <c r="F977" s="14"/>
      <c r="H977" s="14"/>
    </row>
    <row r="978" spans="1:8">
      <c r="A978" s="14"/>
      <c r="B978" s="14"/>
      <c r="C978" s="14"/>
      <c r="F978" s="14"/>
      <c r="H978" s="14"/>
    </row>
    <row r="979" spans="1:8">
      <c r="A979" s="14"/>
      <c r="B979" s="14"/>
      <c r="C979" s="14"/>
      <c r="F979" s="14"/>
      <c r="H979" s="14"/>
    </row>
    <row r="980" spans="1:8">
      <c r="A980" s="14"/>
      <c r="B980" s="14"/>
      <c r="C980" s="14"/>
      <c r="F980" s="14"/>
      <c r="H980" s="14"/>
    </row>
    <row r="981" spans="1:8">
      <c r="A981" s="14"/>
      <c r="B981" s="14"/>
      <c r="C981" s="14"/>
      <c r="F981" s="14"/>
      <c r="H981" s="14"/>
    </row>
    <row r="982" spans="1:8">
      <c r="A982" s="14"/>
      <c r="B982" s="14"/>
      <c r="C982" s="14"/>
      <c r="F982" s="14"/>
      <c r="H982" s="14"/>
    </row>
    <row r="983" spans="1:8">
      <c r="A983" s="14"/>
      <c r="B983" s="14"/>
      <c r="C983" s="14"/>
      <c r="F983" s="14"/>
      <c r="H983" s="14"/>
    </row>
    <row r="984" spans="1:8">
      <c r="A984" s="14"/>
      <c r="B984" s="14"/>
      <c r="C984" s="14"/>
      <c r="F984" s="14"/>
      <c r="H984" s="14"/>
    </row>
    <row r="985" spans="1:8">
      <c r="A985" s="14"/>
      <c r="B985" s="14"/>
      <c r="C985" s="14"/>
      <c r="F985" s="14"/>
      <c r="H985" s="14"/>
    </row>
    <row r="986" spans="1:8">
      <c r="A986" s="14"/>
      <c r="B986" s="14"/>
      <c r="C986" s="14"/>
      <c r="F986" s="14"/>
      <c r="H986" s="14"/>
    </row>
    <row r="987" spans="1:8">
      <c r="A987" s="14"/>
      <c r="B987" s="14"/>
      <c r="C987" s="14"/>
      <c r="F987" s="14"/>
      <c r="H987" s="14"/>
    </row>
    <row r="988" spans="1:8">
      <c r="A988" s="14"/>
      <c r="B988" s="14"/>
      <c r="C988" s="14"/>
      <c r="F988" s="14"/>
      <c r="H988" s="14"/>
    </row>
    <row r="989" spans="1:8">
      <c r="A989" s="14"/>
      <c r="B989" s="14"/>
      <c r="C989" s="14"/>
      <c r="F989" s="14"/>
      <c r="H989" s="14"/>
    </row>
    <row r="990" spans="1:8">
      <c r="A990" s="14"/>
      <c r="B990" s="14"/>
      <c r="C990" s="14"/>
      <c r="F990" s="14"/>
      <c r="H990" s="14"/>
    </row>
    <row r="991" spans="1:8">
      <c r="A991" s="14"/>
      <c r="B991" s="14"/>
      <c r="C991" s="14"/>
      <c r="F991" s="14"/>
      <c r="H991" s="14"/>
    </row>
    <row r="992" spans="1:8">
      <c r="A992" s="14"/>
      <c r="B992" s="14"/>
      <c r="C992" s="14"/>
      <c r="F992" s="14"/>
      <c r="H992" s="14"/>
    </row>
    <row r="993" spans="1:8">
      <c r="A993" s="14"/>
      <c r="B993" s="14"/>
      <c r="C993" s="14"/>
      <c r="F993" s="14"/>
      <c r="H993" s="14"/>
    </row>
    <row r="994" spans="1:8">
      <c r="A994" s="14"/>
      <c r="B994" s="14"/>
      <c r="C994" s="14"/>
      <c r="F994" s="14"/>
      <c r="H994" s="14"/>
    </row>
    <row r="995" spans="1:8">
      <c r="A995" s="14"/>
      <c r="B995" s="14"/>
      <c r="C995" s="14"/>
      <c r="F995" s="14"/>
      <c r="H995" s="14"/>
    </row>
    <row r="996" spans="1:8">
      <c r="A996" s="14"/>
      <c r="B996" s="14"/>
      <c r="C996" s="14"/>
      <c r="F996" s="14"/>
      <c r="H996" s="14"/>
    </row>
    <row r="997" spans="1:8">
      <c r="A997" s="14"/>
      <c r="B997" s="14"/>
      <c r="C997" s="14"/>
      <c r="F997" s="14"/>
      <c r="H997" s="14"/>
    </row>
    <row r="998" spans="1:8">
      <c r="A998" s="14"/>
      <c r="B998" s="14"/>
      <c r="C998" s="14"/>
      <c r="F998" s="14"/>
      <c r="H998" s="14"/>
    </row>
    <row r="999" spans="1:8">
      <c r="A999" s="14"/>
      <c r="B999" s="14"/>
      <c r="C999" s="14"/>
      <c r="F999" s="14"/>
      <c r="H999" s="14"/>
    </row>
  </sheetData>
  <phoneticPr fontId="2" type="noConversion"/>
  <conditionalFormatting sqref="F33:F34">
    <cfRule type="containsText" dxfId="1" priority="2" operator="containsText" text="Performance">
      <formula>NOT(ISERROR(SEARCH("Performance",F33)))</formula>
    </cfRule>
  </conditionalFormatting>
  <conditionalFormatting sqref="F47:F48">
    <cfRule type="containsText" dxfId="0" priority="1" operator="containsText" text="(선택)">
      <formula>NOT(ISERROR(SEARCH("(선택)",F47)))</formula>
    </cfRule>
  </conditionalFormatting>
  <pageMargins left="0.39370078740157483" right="0.39370078740157483" top="0.39370078740157483" bottom="0.39370078740157483" header="0.31496062992125984" footer="0.31496062992125984"/>
  <pageSetup paperSize="9" scale="50"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D0DCC2-C77F-4958-9A57-D9F4A65B56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4</vt:i4>
      </vt:variant>
    </vt:vector>
  </HeadingPairs>
  <TitlesOfParts>
    <vt:vector size="8" baseType="lpstr">
      <vt:lpstr>표지</vt:lpstr>
      <vt:lpstr>NX-Wafer</vt:lpstr>
      <vt:lpstr>Last</vt:lpstr>
      <vt:lpstr>v3.21.1</vt:lpstr>
      <vt:lpstr>Last!Print_Area</vt:lpstr>
      <vt:lpstr>'NX-Wafer'!Print_Area</vt:lpstr>
      <vt:lpstr>표지!Print_Area</vt:lpstr>
      <vt:lpstr>'NX-Wafer'!Print_Titles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Soon Jang</dc:creator>
  <cp:lastModifiedBy>백명진 (MyeongJin Baek)</cp:lastModifiedBy>
  <cp:lastPrinted>2025-02-26T04:18:15Z</cp:lastPrinted>
  <dcterms:created xsi:type="dcterms:W3CDTF">2023-01-27T02:07:50Z</dcterms:created>
  <dcterms:modified xsi:type="dcterms:W3CDTF">2025-11-26T10:09:37Z</dcterms:modified>
</cp:coreProperties>
</file>